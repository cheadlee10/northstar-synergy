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5" autoFilterDateGrouping="1"/>
  </bookViews>
  <sheets>
    <sheet xmlns:r="http://schemas.openxmlformats.org/officeDocument/2006/relationships" name="KALSHI_TRADES" sheetId="1" state="visible" r:id="rId1"/>
    <sheet xmlns:r="http://schemas.openxmlformats.org/officeDocument/2006/relationships" name="JOHN_REVENUE" sheetId="2" state="visible" r:id="rId2"/>
    <sheet xmlns:r="http://schemas.openxmlformats.org/officeDocument/2006/relationships" name="KELSEA_TRANSACTIONS" sheetId="3" state="visible" r:id="rId3"/>
    <sheet xmlns:r="http://schemas.openxmlformats.org/officeDocument/2006/relationships" name="AI_TOKEN_USAGE" sheetId="4" state="visible" r:id="rId4"/>
    <sheet xmlns:r="http://schemas.openxmlformats.org/officeDocument/2006/relationships" name="EXPENSES_ALL" sheetId="5" state="visible" r:id="rId5"/>
    <sheet xmlns:r="http://schemas.openxmlformats.org/officeDocument/2006/relationships" name="DAILY_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yyyy-mm-dd"/>
    <numFmt numFmtId="165" formatCode="$#,##0.00;($#,##0.00);&quot;-&quot;"/>
    <numFmt numFmtId="166" formatCode="YYYY-MM-DD"/>
    <numFmt numFmtId="167" formatCode="$#,##0.00"/>
    <numFmt numFmtId="168" formatCode="YYYY-MM-DD HH:MM"/>
    <numFmt numFmtId="169" formatCode="0.0%"/>
  </numFmts>
  <fonts count="14">
    <font>
      <name val="Calibri"/>
      <family val="2"/>
      <color theme="1"/>
      <sz val="11"/>
      <scheme val="minor"/>
    </font>
    <font>
      <name val="Arial"/>
      <b val="1"/>
      <color rgb="FF00FF88"/>
      <sz val="9"/>
    </font>
    <font>
      <name val="Arial"/>
      <sz val="9"/>
    </font>
    <font>
      <name val="Arial"/>
      <b val="1"/>
      <i val="1"/>
      <color rgb="FFFF8C00"/>
      <sz val="9"/>
    </font>
    <font>
      <name val="Arial"/>
      <b val="1"/>
      <color rgb="FF00D4FF"/>
      <sz val="9"/>
    </font>
    <font>
      <name val="Arial"/>
      <b val="1"/>
      <color rgb="FF0A2A3A"/>
      <sz val="10"/>
    </font>
    <font>
      <name val="Arial"/>
      <b val="1"/>
      <sz val="9"/>
    </font>
    <font>
      <name val="Arial"/>
      <color rgb="FF008000"/>
      <sz val="9"/>
    </font>
    <font>
      <name val="Arial"/>
      <b val="1"/>
      <color rgb="FFA78BFA"/>
      <sz val="9"/>
    </font>
    <font>
      <name val="Arial"/>
      <color rgb="FF00AA55"/>
      <sz val="9"/>
    </font>
    <font>
      <name val="Arial"/>
      <color rgb="FFFF3C5C"/>
      <sz val="9"/>
    </font>
    <font>
      <name val="Arial"/>
      <b val="1"/>
      <color rgb="FFF5C518"/>
      <sz val="9"/>
    </font>
    <font>
      <name val="Arial"/>
      <b val="1"/>
      <color rgb="FFFF3C5C"/>
      <sz val="9"/>
    </font>
    <font>
      <name val="Arial"/>
      <b val="1"/>
      <color rgb="FFF5C518"/>
      <sz val="14"/>
    </font>
  </fonts>
  <fills count="12">
    <fill>
      <patternFill/>
    </fill>
    <fill>
      <patternFill patternType="gray125"/>
    </fill>
    <fill>
      <patternFill patternType="solid">
        <fgColor rgb="FF0D3B1F"/>
      </patternFill>
    </fill>
    <fill>
      <patternFill patternType="solid">
        <fgColor rgb="FFF9F9F9"/>
      </patternFill>
    </fill>
    <fill>
      <patternFill patternType="solid">
        <fgColor rgb="FFFFFFFF"/>
      </patternFill>
    </fill>
    <fill>
      <patternFill patternType="solid">
        <fgColor rgb="FF0A2A3A"/>
      </patternFill>
    </fill>
    <fill>
      <patternFill patternType="solid">
        <fgColor rgb="FFE8FFE8"/>
      </patternFill>
    </fill>
    <fill>
      <patternFill patternType="solid">
        <fgColor rgb="FF2A1A3A"/>
      </patternFill>
    </fill>
    <fill>
      <patternFill patternType="solid">
        <fgColor rgb="FF3A2A00"/>
      </patternFill>
    </fill>
    <fill>
      <patternFill patternType="solid">
        <fgColor rgb="FF3A0A0A"/>
      </patternFill>
    </fill>
    <fill>
      <patternFill patternType="solid">
        <fgColor rgb="FF0D1117"/>
      </patternFill>
    </fill>
    <fill>
      <patternFill patternType="solid">
        <fgColor rgb="FF1B2A3B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166" fontId="2" fillId="3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165" fontId="2" fillId="3" borderId="1" applyAlignment="1" pivotButton="0" quotePrefix="0" xfId="0">
      <alignment vertical="center"/>
    </xf>
    <xf numFmtId="166" fontId="2" fillId="4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165" fontId="2" fillId="4" borderId="1" applyAlignment="1" pivotButton="0" quotePrefix="0" xfId="0">
      <alignment vertical="center"/>
    </xf>
    <xf numFmtId="0" fontId="3" fillId="0" borderId="0" pivotButton="0" quotePrefix="0" xfId="0"/>
    <xf numFmtId="0" fontId="4" fillId="5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6" fillId="0" borderId="0" pivotButton="0" quotePrefix="0" xfId="0"/>
    <xf numFmtId="167" fontId="7" fillId="6" borderId="0" pivotButton="0" quotePrefix="0" xfId="0"/>
    <xf numFmtId="0" fontId="8" fillId="7" borderId="1" applyAlignment="1" pivotButton="0" quotePrefix="0" xfId="0">
      <alignment horizontal="center" vertical="center" wrapText="1"/>
    </xf>
    <xf numFmtId="0" fontId="11" fillId="8" borderId="1" applyAlignment="1" pivotButton="0" quotePrefix="0" xfId="0">
      <alignment horizontal="center" vertical="center" wrapText="1"/>
    </xf>
    <xf numFmtId="0" fontId="12" fillId="9" borderId="1" applyAlignment="1" pivotButton="0" quotePrefix="0" xfId="0">
      <alignment horizontal="center" vertical="center" wrapText="1"/>
    </xf>
    <xf numFmtId="0" fontId="13" fillId="10" borderId="0" applyAlignment="1" pivotButton="0" quotePrefix="0" xfId="0">
      <alignment horizontal="center" vertical="center"/>
    </xf>
    <xf numFmtId="168" fontId="0" fillId="0" borderId="0" pivotButton="0" quotePrefix="0" xfId="0"/>
    <xf numFmtId="0" fontId="11" fillId="11" borderId="0" applyAlignment="1" pivotButton="0" quotePrefix="0" xfId="0">
      <alignment horizontal="left" vertical="center"/>
    </xf>
    <xf numFmtId="0" fontId="6" fillId="0" borderId="0" applyAlignment="1" pivotButton="0" quotePrefix="0" xfId="0">
      <alignment vertical="center"/>
    </xf>
    <xf numFmtId="165" fontId="7" fillId="6" borderId="0" pivotButton="0" quotePrefix="0" xfId="0"/>
    <xf numFmtId="1" fontId="7" fillId="6" borderId="0" pivotButton="0" quotePrefix="0" xfId="0"/>
    <xf numFmtId="169" fontId="7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FF88"/>
    <outlinePr summaryBelow="1" summaryRight="1"/>
    <pageSetUpPr/>
  </sheetPr>
  <dimension ref="A1:N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4" customWidth="1" min="3" max="3"/>
    <col width="10" customWidth="1" min="4" max="4"/>
    <col width="12" customWidth="1" min="5" max="5"/>
    <col width="12" customWidth="1" min="6" max="6"/>
    <col width="14" customWidth="1" min="7" max="7"/>
    <col width="14" customWidth="1" min="8" max="8"/>
    <col width="14" customWidth="1" min="9" max="9"/>
    <col width="14" customWidth="1" min="10" max="10"/>
    <col width="12" customWidth="1" min="11" max="11"/>
    <col width="14" customWidth="1" min="12" max="12"/>
    <col width="10" customWidth="1" min="13" max="13"/>
    <col width="22" customWidth="1" min="14" max="14"/>
  </cols>
  <sheetData>
    <row r="1" ht="30" customHeight="1">
      <c r="A1" s="1" t="inlineStr">
        <is>
          <t>trade_date</t>
        </is>
      </c>
      <c r="B1" s="1" t="inlineStr">
        <is>
          <t>contract_id</t>
        </is>
      </c>
      <c r="C1" s="1" t="inlineStr">
        <is>
          <t>market</t>
        </is>
      </c>
      <c r="D1" s="1" t="inlineStr">
        <is>
          <t>direction</t>
        </is>
      </c>
      <c r="E1" s="1" t="inlineStr">
        <is>
          <t>entry_price</t>
        </is>
      </c>
      <c r="F1" s="1" t="inlineStr">
        <is>
          <t>exit_price</t>
        </is>
      </c>
      <c r="G1" s="1" t="inlineStr">
        <is>
          <t>num_contracts</t>
        </is>
      </c>
      <c r="H1" s="1" t="inlineStr">
        <is>
          <t>cost_basis</t>
        </is>
      </c>
      <c r="I1" s="1" t="inlineStr">
        <is>
          <t>pnl_realized</t>
        </is>
      </c>
      <c r="J1" s="1" t="inlineStr">
        <is>
          <t>pnl_unrealized</t>
        </is>
      </c>
      <c r="K1" s="1" t="inlineStr">
        <is>
          <t>status</t>
        </is>
      </c>
      <c r="L1" s="1" t="inlineStr">
        <is>
          <t>expiry_date</t>
        </is>
      </c>
      <c r="M1" s="1" t="inlineStr">
        <is>
          <t>fees</t>
        </is>
      </c>
      <c r="N1" s="1" t="inlineStr">
        <is>
          <t>notes</t>
        </is>
      </c>
    </row>
    <row r="2">
      <c r="A2" s="2" t="n">
        <v>46054</v>
      </c>
      <c r="B2" s="3" t="inlineStr">
        <is>
          <t>TEMP.HIGH.SEA-2026-02-01</t>
        </is>
      </c>
      <c r="C2" s="3" t="inlineStr">
        <is>
          <t>Weather</t>
        </is>
      </c>
      <c r="D2" s="3" t="inlineStr">
        <is>
          <t>YES</t>
        </is>
      </c>
      <c r="E2" s="4" t="n">
        <v>0.42</v>
      </c>
      <c r="F2" s="4" t="n">
        <v>1</v>
      </c>
      <c r="G2" s="3" t="n">
        <v>500</v>
      </c>
      <c r="H2" s="4">
        <f>E2*G2</f>
        <v/>
      </c>
      <c r="I2" s="4">
        <f>IF(K2="Settled",(F2-E2)*G2-M2,"")</f>
        <v/>
      </c>
      <c r="J2" s="4">
        <f>IF(K2="Open",(F2-E2)*G2,"")</f>
        <v/>
      </c>
      <c r="K2" s="3" t="inlineStr">
        <is>
          <t>Settled</t>
        </is>
      </c>
      <c r="L2" s="2" t="n">
        <v>46054</v>
      </c>
      <c r="M2" s="4" t="n">
        <v>8.4</v>
      </c>
      <c r="N2" s="3" t="inlineStr">
        <is>
          <t>GFS match</t>
        </is>
      </c>
    </row>
    <row r="3">
      <c r="A3" s="5" t="n">
        <v>46055</v>
      </c>
      <c r="B3" s="6" t="inlineStr">
        <is>
          <t>RAIN.PDX.0.25IN-2026-02-02</t>
        </is>
      </c>
      <c r="C3" s="6" t="inlineStr">
        <is>
          <t>Weather</t>
        </is>
      </c>
      <c r="D3" s="6" t="inlineStr">
        <is>
          <t>YES</t>
        </is>
      </c>
      <c r="E3" s="7" t="n">
        <v>0.61</v>
      </c>
      <c r="F3" s="7" t="n">
        <v>0</v>
      </c>
      <c r="G3" s="6" t="n">
        <v>300</v>
      </c>
      <c r="H3" s="7">
        <f>E3*G3</f>
        <v/>
      </c>
      <c r="I3" s="7">
        <f>IF(K3="Settled",(F3-E3)*G3-M3,"")</f>
        <v/>
      </c>
      <c r="J3" s="7">
        <f>IF(K3="Open",(F3-E3)*G3,"")</f>
        <v/>
      </c>
      <c r="K3" s="6" t="inlineStr">
        <is>
          <t>Settled</t>
        </is>
      </c>
      <c r="L3" s="5" t="n">
        <v>46055</v>
      </c>
      <c r="M3" s="7" t="n">
        <v>5.49</v>
      </c>
      <c r="N3" s="6" t="inlineStr">
        <is>
          <t>Miss</t>
        </is>
      </c>
    </row>
    <row r="4">
      <c r="A4" s="2" t="n">
        <v>46058</v>
      </c>
      <c r="B4" s="3" t="inlineStr">
        <is>
          <t>FED.HOLD.MAR26</t>
        </is>
      </c>
      <c r="C4" s="3" t="inlineStr">
        <is>
          <t>Macro</t>
        </is>
      </c>
      <c r="D4" s="3" t="inlineStr">
        <is>
          <t>YES</t>
        </is>
      </c>
      <c r="E4" s="4" t="n">
        <v>0.72</v>
      </c>
      <c r="F4" s="4" t="n"/>
      <c r="G4" s="3" t="n">
        <v>1000</v>
      </c>
      <c r="H4" s="4">
        <f>E4*G4</f>
        <v/>
      </c>
      <c r="I4" s="4">
        <f>IF(K4="Settled",(F4-E4)*G4-M4,"")</f>
        <v/>
      </c>
      <c r="J4" s="4">
        <f>IF(K4="Open",(F4-E4)*G4,"")</f>
        <v/>
      </c>
      <c r="K4" s="3" t="inlineStr">
        <is>
          <t>Open</t>
        </is>
      </c>
      <c r="L4" s="2" t="n">
        <v>46100</v>
      </c>
      <c r="M4" s="4" t="n">
        <v>0</v>
      </c>
      <c r="N4" s="3" t="inlineStr"/>
    </row>
    <row r="5">
      <c r="A5" s="5" t="n">
        <v>46063</v>
      </c>
      <c r="B5" s="6" t="inlineStr">
        <is>
          <t>BTC.ABOVE.80K-2026-02-10</t>
        </is>
      </c>
      <c r="C5" s="6" t="inlineStr">
        <is>
          <t>Crypto</t>
        </is>
      </c>
      <c r="D5" s="6" t="inlineStr">
        <is>
          <t>YES</t>
        </is>
      </c>
      <c r="E5" s="7" t="n">
        <v>0.68</v>
      </c>
      <c r="F5" s="7" t="n">
        <v>1</v>
      </c>
      <c r="G5" s="6" t="n">
        <v>500</v>
      </c>
      <c r="H5" s="7">
        <f>E5*G5</f>
        <v/>
      </c>
      <c r="I5" s="7">
        <f>IF(K5="Settled",(F5-E5)*G5-M5,"")</f>
        <v/>
      </c>
      <c r="J5" s="7">
        <f>IF(K5="Open",(F5-E5)*G5,"")</f>
        <v/>
      </c>
      <c r="K5" s="6" t="inlineStr">
        <is>
          <t>Settled</t>
        </is>
      </c>
      <c r="L5" s="5" t="n">
        <v>46063</v>
      </c>
      <c r="M5" s="7" t="n">
        <v>10.2</v>
      </c>
      <c r="N5" s="6" t="inlineStr"/>
    </row>
    <row r="6">
      <c r="A6" s="2" t="n">
        <v>46067</v>
      </c>
      <c r="B6" s="3" t="inlineStr">
        <is>
          <t>SNOW.CHI.1IN-2026-02-14</t>
        </is>
      </c>
      <c r="C6" s="3" t="inlineStr">
        <is>
          <t>Weather</t>
        </is>
      </c>
      <c r="D6" s="3" t="inlineStr">
        <is>
          <t>YES</t>
        </is>
      </c>
      <c r="E6" s="4" t="n">
        <v>0.55</v>
      </c>
      <c r="F6" s="4" t="n">
        <v>0</v>
      </c>
      <c r="G6" s="3" t="n">
        <v>300</v>
      </c>
      <c r="H6" s="4">
        <f>E6*G6</f>
        <v/>
      </c>
      <c r="I6" s="4">
        <f>IF(K6="Settled",(F6-E6)*G6-M6,"")</f>
        <v/>
      </c>
      <c r="J6" s="4">
        <f>IF(K6="Open",(F6-E6)*G6,"")</f>
        <v/>
      </c>
      <c r="K6" s="3" t="inlineStr">
        <is>
          <t>Settled</t>
        </is>
      </c>
      <c r="L6" s="2" t="n">
        <v>46067</v>
      </c>
      <c r="M6" s="4" t="n">
        <v>5.5</v>
      </c>
      <c r="N6" s="3" t="inlineStr"/>
    </row>
    <row r="7">
      <c r="A7" s="5" t="n">
        <v>46071</v>
      </c>
      <c r="B7" s="6" t="inlineStr">
        <is>
          <t>CPI.ABOVE.3-2026-03</t>
        </is>
      </c>
      <c r="C7" s="6" t="inlineStr">
        <is>
          <t>Macro</t>
        </is>
      </c>
      <c r="D7" s="6" t="inlineStr">
        <is>
          <t>YES</t>
        </is>
      </c>
      <c r="E7" s="7" t="n">
        <v>0.32</v>
      </c>
      <c r="F7" s="7" t="n"/>
      <c r="G7" s="6" t="n">
        <v>250</v>
      </c>
      <c r="H7" s="7">
        <f>E7*G7</f>
        <v/>
      </c>
      <c r="I7" s="7">
        <f>IF(K7="Settled",(F7-E7)*G7-M7,"")</f>
        <v/>
      </c>
      <c r="J7" s="7">
        <f>IF(K7="Open",(F7-E7)*G7,"")</f>
        <v/>
      </c>
      <c r="K7" s="6" t="inlineStr">
        <is>
          <t>Open</t>
        </is>
      </c>
      <c r="L7" s="5" t="n">
        <v>46093</v>
      </c>
      <c r="M7" s="7" t="n">
        <v>0</v>
      </c>
      <c r="N7" s="6" t="inlineStr"/>
    </row>
    <row r="8">
      <c r="A8" s="2" t="n">
        <v>46073</v>
      </c>
      <c r="B8" s="3" t="inlineStr">
        <is>
          <t>TEMP.HIGH.NYC-2026-02-26</t>
        </is>
      </c>
      <c r="C8" s="3" t="inlineStr">
        <is>
          <t>Weather</t>
        </is>
      </c>
      <c r="D8" s="3" t="inlineStr">
        <is>
          <t>YES</t>
        </is>
      </c>
      <c r="E8" s="4" t="n">
        <v>0.42</v>
      </c>
      <c r="F8" s="4" t="n">
        <v>1</v>
      </c>
      <c r="G8" s="3" t="n">
        <v>245</v>
      </c>
      <c r="H8" s="4">
        <f>E8*G8</f>
        <v/>
      </c>
      <c r="I8" s="4">
        <f>IF(K8="Settled",(F8-E8)*G8-M8,"")</f>
        <v/>
      </c>
      <c r="J8" s="4">
        <f>IF(K8="Open",(F8-E8)*G8,"")</f>
        <v/>
      </c>
      <c r="K8" s="3" t="inlineStr">
        <is>
          <t>Settled</t>
        </is>
      </c>
      <c r="L8" s="2" t="n">
        <v>46079</v>
      </c>
      <c r="M8" s="4" t="n">
        <v>4.66</v>
      </c>
      <c r="N8" s="3" t="inlineStr"/>
    </row>
    <row r="9">
      <c r="A9" s="5" t="n">
        <v>46075</v>
      </c>
      <c r="B9" s="6" t="inlineStr">
        <is>
          <t>RAIN.SEA.1IN-2026-02-28</t>
        </is>
      </c>
      <c r="C9" s="6" t="inlineStr">
        <is>
          <t>Weather</t>
        </is>
      </c>
      <c r="D9" s="6" t="inlineStr">
        <is>
          <t>YES</t>
        </is>
      </c>
      <c r="E9" s="7" t="n">
        <v>0.38</v>
      </c>
      <c r="F9" s="7" t="n"/>
      <c r="G9" s="6" t="n">
        <v>1000</v>
      </c>
      <c r="H9" s="7">
        <f>E9*G9</f>
        <v/>
      </c>
      <c r="I9" s="7">
        <f>IF(K9="Settled",(F9-E9)*G9-M9,"")</f>
        <v/>
      </c>
      <c r="J9" s="7">
        <f>IF(K9="Open",(F9-E9)*G9,"")</f>
        <v/>
      </c>
      <c r="K9" s="6" t="inlineStr">
        <is>
          <t>Open</t>
        </is>
      </c>
      <c r="L9" s="5" t="n">
        <v>46081</v>
      </c>
      <c r="M9" s="7" t="n">
        <v>0</v>
      </c>
      <c r="N9" s="6" t="inlineStr"/>
    </row>
    <row r="11">
      <c r="A11" s="8" t="inlineStr">
        <is>
          <t>⚠ REPLACE SAMPLE DATA: Run kalshi_sync.py to populate with real Scalper trades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0D4FF"/>
    <outlinePr summaryBelow="1" summaryRight="1"/>
    <pageSetUpPr/>
  </sheetPr>
  <dimension ref="A1:H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20" customWidth="1" min="3" max="3"/>
    <col width="14" customWidth="1" min="4" max="4"/>
    <col width="12" customWidth="1" min="5" max="5"/>
    <col width="16" customWidth="1" min="6" max="6"/>
    <col width="18" customWidth="1" min="7" max="7"/>
    <col width="30" customWidth="1" min="8" max="8"/>
  </cols>
  <sheetData>
    <row r="1" ht="30" customHeight="1">
      <c r="A1" s="9" t="inlineStr">
        <is>
          <t>date</t>
        </is>
      </c>
      <c r="B1" s="9" t="inlineStr">
        <is>
          <t>client_name</t>
        </is>
      </c>
      <c r="C1" s="9" t="inlineStr">
        <is>
          <t>service_type</t>
        </is>
      </c>
      <c r="D1" s="9" t="inlineStr">
        <is>
          <t>amount</t>
        </is>
      </c>
      <c r="E1" s="9" t="inlineStr">
        <is>
          <t>recurring</t>
        </is>
      </c>
      <c r="F1" s="9" t="inlineStr">
        <is>
          <t>invoice_status</t>
        </is>
      </c>
      <c r="G1" s="9" t="inlineStr">
        <is>
          <t>payment_method</t>
        </is>
      </c>
      <c r="H1" s="9" t="inlineStr">
        <is>
          <t>notes</t>
        </is>
      </c>
    </row>
    <row r="2">
      <c r="A2" s="2" t="n">
        <v>46054</v>
      </c>
      <c r="B2" s="3" t="inlineStr">
        <is>
          <t>Bothell Landscaping Co.</t>
        </is>
      </c>
      <c r="C2" s="3" t="inlineStr">
        <is>
          <t>Website + Email</t>
        </is>
      </c>
      <c r="D2" s="4" t="n">
        <v>349</v>
      </c>
      <c r="E2" s="3" t="inlineStr">
        <is>
          <t>Y</t>
        </is>
      </c>
      <c r="F2" s="3" t="inlineStr">
        <is>
          <t>Paid</t>
        </is>
      </c>
      <c r="G2" s="3" t="inlineStr">
        <is>
          <t>Stripe</t>
        </is>
      </c>
      <c r="H2" s="3" t="inlineStr">
        <is>
          <t>New client Feb</t>
        </is>
      </c>
    </row>
    <row r="3">
      <c r="A3" s="5" t="n">
        <v>46054</v>
      </c>
      <c r="B3" s="6" t="inlineStr">
        <is>
          <t>Pacific NW Plumbers</t>
        </is>
      </c>
      <c r="C3" s="6" t="inlineStr">
        <is>
          <t>Website + SEO</t>
        </is>
      </c>
      <c r="D3" s="7" t="n">
        <v>199</v>
      </c>
      <c r="E3" s="6" t="inlineStr">
        <is>
          <t>Y</t>
        </is>
      </c>
      <c r="F3" s="6" t="inlineStr">
        <is>
          <t>Paid</t>
        </is>
      </c>
      <c r="G3" s="6" t="inlineStr">
        <is>
          <t>Stripe</t>
        </is>
      </c>
      <c r="H3" s="6" t="inlineStr">
        <is>
          <t>Monthly recurring</t>
        </is>
      </c>
    </row>
    <row r="4">
      <c r="A4" s="2" t="n">
        <v>46054</v>
      </c>
      <c r="B4" s="3" t="inlineStr">
        <is>
          <t>Kirkland Dental</t>
        </is>
      </c>
      <c r="C4" s="3" t="inlineStr">
        <is>
          <t>Hosting</t>
        </is>
      </c>
      <c r="D4" s="4" t="n">
        <v>149</v>
      </c>
      <c r="E4" s="3" t="inlineStr">
        <is>
          <t>Y</t>
        </is>
      </c>
      <c r="F4" s="3" t="inlineStr">
        <is>
          <t>Paid</t>
        </is>
      </c>
      <c r="G4" s="3" t="inlineStr">
        <is>
          <t>Stripe</t>
        </is>
      </c>
      <c r="H4" s="3" t="inlineStr">
        <is>
          <t>Monthly recurring</t>
        </is>
      </c>
    </row>
    <row r="5">
      <c r="A5" s="5" t="n">
        <v>46054</v>
      </c>
      <c r="B5" s="6" t="inlineStr">
        <is>
          <t>Redmond Auto Detail</t>
        </is>
      </c>
      <c r="C5" s="6" t="inlineStr">
        <is>
          <t>Email Campaigns</t>
        </is>
      </c>
      <c r="D5" s="7" t="n">
        <v>99</v>
      </c>
      <c r="E5" s="6" t="inlineStr">
        <is>
          <t>Y</t>
        </is>
      </c>
      <c r="F5" s="6" t="inlineStr">
        <is>
          <t>Pending</t>
        </is>
      </c>
      <c r="G5" s="6" t="inlineStr">
        <is>
          <t>ACH</t>
        </is>
      </c>
      <c r="H5" s="6" t="inlineStr">
        <is>
          <t>Invoice sent 2/1</t>
        </is>
      </c>
    </row>
    <row r="6">
      <c r="A6" s="2" t="n">
        <v>46058</v>
      </c>
      <c r="B6" s="3" t="inlineStr">
        <is>
          <t>Shoreline Gym</t>
        </is>
      </c>
      <c r="C6" s="3" t="inlineStr">
        <is>
          <t>Website Build</t>
        </is>
      </c>
      <c r="D6" s="4" t="n">
        <v>1200</v>
      </c>
      <c r="E6" s="3" t="inlineStr">
        <is>
          <t>N</t>
        </is>
      </c>
      <c r="F6" s="3" t="inlineStr">
        <is>
          <t>Paid</t>
        </is>
      </c>
      <c r="G6" s="3" t="inlineStr">
        <is>
          <t>Stripe</t>
        </is>
      </c>
      <c r="H6" s="3" t="inlineStr">
        <is>
          <t>One-time build</t>
        </is>
      </c>
    </row>
    <row r="7">
      <c r="A7" s="5" t="n">
        <v>46063</v>
      </c>
      <c r="B7" s="6" t="inlineStr">
        <is>
          <t>Kenmore HVAC</t>
        </is>
      </c>
      <c r="C7" s="6" t="inlineStr">
        <is>
          <t>Website + Email</t>
        </is>
      </c>
      <c r="D7" s="7" t="n">
        <v>179</v>
      </c>
      <c r="E7" s="6" t="inlineStr">
        <is>
          <t>Y</t>
        </is>
      </c>
      <c r="F7" s="6" t="inlineStr">
        <is>
          <t>Paid</t>
        </is>
      </c>
      <c r="G7" s="6" t="inlineStr">
        <is>
          <t>Stripe</t>
        </is>
      </c>
      <c r="H7" s="6" t="inlineStr">
        <is>
          <t>Monthly recurring</t>
        </is>
      </c>
    </row>
    <row r="8">
      <c r="A8" s="2" t="n">
        <v>46067</v>
      </c>
      <c r="B8" s="3" t="inlineStr">
        <is>
          <t>Lynnwood Café</t>
        </is>
      </c>
      <c r="C8" s="3" t="inlineStr">
        <is>
          <t>Website Build</t>
        </is>
      </c>
      <c r="D8" s="4" t="n">
        <v>950</v>
      </c>
      <c r="E8" s="3" t="inlineStr">
        <is>
          <t>N</t>
        </is>
      </c>
      <c r="F8" s="3" t="inlineStr">
        <is>
          <t>Paid</t>
        </is>
      </c>
      <c r="G8" s="3" t="inlineStr">
        <is>
          <t>Cash</t>
        </is>
      </c>
      <c r="H8" s="3" t="inlineStr">
        <is>
          <t>One-time build</t>
        </is>
      </c>
    </row>
    <row r="9">
      <c r="A9" s="5" t="n">
        <v>46071</v>
      </c>
      <c r="B9" s="6" t="inlineStr">
        <is>
          <t>Mountlake Florist</t>
        </is>
      </c>
      <c r="C9" s="6" t="inlineStr">
        <is>
          <t>Email Only</t>
        </is>
      </c>
      <c r="D9" s="7" t="n">
        <v>89</v>
      </c>
      <c r="E9" s="6" t="inlineStr">
        <is>
          <t>Y</t>
        </is>
      </c>
      <c r="F9" s="6" t="inlineStr">
        <is>
          <t>Paid</t>
        </is>
      </c>
      <c r="G9" s="6" t="inlineStr">
        <is>
          <t>Stripe</t>
        </is>
      </c>
      <c r="H9" s="6" t="inlineStr">
        <is>
          <t>Monthly recurring</t>
        </is>
      </c>
    </row>
    <row r="10">
      <c r="A10" s="2" t="n">
        <v>46075</v>
      </c>
      <c r="B10" s="3" t="inlineStr">
        <is>
          <t>Bothell Tax Svc</t>
        </is>
      </c>
      <c r="C10" s="3" t="inlineStr">
        <is>
          <t>Website + SEO</t>
        </is>
      </c>
      <c r="D10" s="4" t="n">
        <v>225</v>
      </c>
      <c r="E10" s="3" t="inlineStr">
        <is>
          <t>Y</t>
        </is>
      </c>
      <c r="F10" s="3" t="inlineStr">
        <is>
          <t>Paid</t>
        </is>
      </c>
      <c r="G10" s="3" t="inlineStr">
        <is>
          <t>Stripe</t>
        </is>
      </c>
      <c r="H10" s="3" t="inlineStr">
        <is>
          <t>Monthly recurring</t>
        </is>
      </c>
    </row>
    <row r="11">
      <c r="A11" s="5" t="n">
        <v>46078</v>
      </c>
      <c r="B11" s="6" t="inlineStr">
        <is>
          <t>Edmonds Realty</t>
        </is>
      </c>
      <c r="C11" s="6" t="inlineStr">
        <is>
          <t>Website Build</t>
        </is>
      </c>
      <c r="D11" s="7" t="n">
        <v>1500</v>
      </c>
      <c r="E11" s="6" t="inlineStr">
        <is>
          <t>N</t>
        </is>
      </c>
      <c r="F11" s="6" t="inlineStr">
        <is>
          <t>Pending</t>
        </is>
      </c>
      <c r="G11" s="6" t="inlineStr">
        <is>
          <t>ACH</t>
        </is>
      </c>
      <c r="H11" s="6" t="inlineStr">
        <is>
          <t>Invoice outstanding</t>
        </is>
      </c>
    </row>
    <row r="12">
      <c r="A12" s="2" t="n">
        <v>46079</v>
      </c>
      <c r="B12" s="3" t="inlineStr">
        <is>
          <t>Mukilteo Bakery</t>
        </is>
      </c>
      <c r="C12" s="3" t="inlineStr">
        <is>
          <t>Hosting</t>
        </is>
      </c>
      <c r="D12" s="4" t="n">
        <v>79</v>
      </c>
      <c r="E12" s="3" t="inlineStr">
        <is>
          <t>Y</t>
        </is>
      </c>
      <c r="F12" s="3" t="inlineStr">
        <is>
          <t>Paid</t>
        </is>
      </c>
      <c r="G12" s="3" t="inlineStr">
        <is>
          <t>Stripe</t>
        </is>
      </c>
      <c r="H12" s="3" t="inlineStr">
        <is>
          <t>Monthly recurring</t>
        </is>
      </c>
    </row>
    <row r="13">
      <c r="A13" s="5" t="n">
        <v>46080</v>
      </c>
      <c r="B13" s="6" t="inlineStr">
        <is>
          <t>Kenmore Dentist</t>
        </is>
      </c>
      <c r="C13" s="6" t="inlineStr">
        <is>
          <t>Website Build</t>
        </is>
      </c>
      <c r="D13" s="7" t="n">
        <v>1200</v>
      </c>
      <c r="E13" s="6" t="inlineStr">
        <is>
          <t>N</t>
        </is>
      </c>
      <c r="F13" s="6" t="inlineStr">
        <is>
          <t>Paid</t>
        </is>
      </c>
      <c r="G13" s="6" t="inlineStr">
        <is>
          <t>Stripe</t>
        </is>
      </c>
      <c r="H13" s="6" t="inlineStr">
        <is>
          <t>One-time build</t>
        </is>
      </c>
    </row>
    <row r="15">
      <c r="A15" s="10" t="inlineStr">
        <is>
          <t>SUMMARY FORMULAS</t>
        </is>
      </c>
    </row>
    <row r="16">
      <c r="A16" s="11" t="inlineStr">
        <is>
          <t>Total Revenue (MTD)</t>
        </is>
      </c>
      <c r="B16" s="12">
        <f>SUMPRODUCT((MONTH(A2:A13)=MONTH(TODAY()))*(D2:D13))</f>
        <v/>
      </c>
    </row>
    <row r="17">
      <c r="A17" s="11" t="inlineStr">
        <is>
          <t>MRR</t>
        </is>
      </c>
      <c r="B17" s="12">
        <f>SUMPRODUCT((E2:E13="Y")*(D2:D13))</f>
        <v/>
      </c>
    </row>
    <row r="18">
      <c r="A18" s="11" t="inlineStr">
        <is>
          <t>Pending Invoices</t>
        </is>
      </c>
      <c r="B18" s="12">
        <f>SUMPRODUCT((F2:F13="Pending")*(D2:D13))</f>
        <v/>
      </c>
    </row>
    <row r="19">
      <c r="A19" s="11" t="inlineStr">
        <is>
          <t>Active Clients</t>
        </is>
      </c>
      <c r="B19" s="12">
        <f>COUNTA(B2:B13)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A78BFA"/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20" customWidth="1" min="3" max="3"/>
    <col width="35" customWidth="1" min="4" max="4"/>
    <col width="16" customWidth="1" min="5" max="5"/>
    <col width="16" customWidth="1" min="6" max="6"/>
    <col width="20" customWidth="1" min="7" max="7"/>
  </cols>
  <sheetData>
    <row r="1" ht="30" customHeight="1">
      <c r="A1" s="13" t="inlineStr">
        <is>
          <t>date</t>
        </is>
      </c>
      <c r="B1" s="13" t="inlineStr">
        <is>
          <t>transaction_type</t>
        </is>
      </c>
      <c r="C1" s="13" t="inlineStr">
        <is>
          <t>category</t>
        </is>
      </c>
      <c r="D1" s="13" t="inlineStr">
        <is>
          <t>description</t>
        </is>
      </c>
      <c r="E1" s="13" t="inlineStr">
        <is>
          <t>amount</t>
        </is>
      </c>
      <c r="F1" s="13" t="inlineStr">
        <is>
          <t>payment_status</t>
        </is>
      </c>
      <c r="G1" s="13" t="inlineStr">
        <is>
          <t>reference</t>
        </is>
      </c>
    </row>
    <row r="2">
      <c r="A2" s="2" t="n">
        <v>46054</v>
      </c>
      <c r="B2" s="3" t="inlineStr">
        <is>
          <t>Revenue</t>
        </is>
      </c>
      <c r="C2" s="3" t="inlineStr">
        <is>
          <t>Sales</t>
        </is>
      </c>
      <c r="D2" s="3" t="inlineStr">
        <is>
          <t>Product sales - Feb wk1</t>
        </is>
      </c>
      <c r="E2" s="4" t="n">
        <v>1240</v>
      </c>
      <c r="F2" s="3" t="inlineStr">
        <is>
          <t>Cleared</t>
        </is>
      </c>
      <c r="G2" s="3" t="inlineStr">
        <is>
          <t>INV-001</t>
        </is>
      </c>
    </row>
    <row r="3">
      <c r="A3" s="5" t="n">
        <v>46056</v>
      </c>
      <c r="B3" s="6" t="inlineStr">
        <is>
          <t>Expense</t>
        </is>
      </c>
      <c r="C3" s="6" t="inlineStr">
        <is>
          <t>COGS</t>
        </is>
      </c>
      <c r="D3" s="6" t="inlineStr">
        <is>
          <t>Supplier payment - goods</t>
        </is>
      </c>
      <c r="E3" s="7" t="n">
        <v>480</v>
      </c>
      <c r="F3" s="6" t="inlineStr">
        <is>
          <t>Cleared</t>
        </is>
      </c>
      <c r="G3" s="6" t="inlineStr">
        <is>
          <t>PO-441</t>
        </is>
      </c>
    </row>
    <row r="4">
      <c r="A4" s="2" t="n">
        <v>46058</v>
      </c>
      <c r="B4" s="3" t="inlineStr">
        <is>
          <t>Revenue</t>
        </is>
      </c>
      <c r="C4" s="3" t="inlineStr">
        <is>
          <t>Services</t>
        </is>
      </c>
      <c r="D4" s="3" t="inlineStr">
        <is>
          <t>Consulting fee</t>
        </is>
      </c>
      <c r="E4" s="4" t="n">
        <v>800</v>
      </c>
      <c r="F4" s="3" t="inlineStr">
        <is>
          <t>Cleared</t>
        </is>
      </c>
      <c r="G4" s="3" t="inlineStr">
        <is>
          <t>INV-002</t>
        </is>
      </c>
    </row>
    <row r="5">
      <c r="A5" s="5" t="n">
        <v>46061</v>
      </c>
      <c r="B5" s="6" t="inlineStr">
        <is>
          <t>Expense</t>
        </is>
      </c>
      <c r="C5" s="6" t="inlineStr">
        <is>
          <t>Software</t>
        </is>
      </c>
      <c r="D5" s="6" t="inlineStr">
        <is>
          <t>Subscriptions - tools</t>
        </is>
      </c>
      <c r="E5" s="7" t="n">
        <v>120</v>
      </c>
      <c r="F5" s="6" t="inlineStr">
        <is>
          <t>Cleared</t>
        </is>
      </c>
      <c r="G5" s="6" t="inlineStr">
        <is>
          <t>AUTO</t>
        </is>
      </c>
    </row>
    <row r="6">
      <c r="A6" s="2" t="n">
        <v>46063</v>
      </c>
      <c r="B6" s="3" t="inlineStr">
        <is>
          <t>Revenue</t>
        </is>
      </c>
      <c r="C6" s="3" t="inlineStr">
        <is>
          <t>Sales</t>
        </is>
      </c>
      <c r="D6" s="3" t="inlineStr">
        <is>
          <t>Product sales - Feb wk2</t>
        </is>
      </c>
      <c r="E6" s="4" t="n">
        <v>980</v>
      </c>
      <c r="F6" s="3" t="inlineStr">
        <is>
          <t>Cleared</t>
        </is>
      </c>
      <c r="G6" s="3" t="inlineStr">
        <is>
          <t>INV-003</t>
        </is>
      </c>
    </row>
    <row r="7">
      <c r="A7" s="5" t="n">
        <v>46065</v>
      </c>
      <c r="B7" s="6" t="inlineStr">
        <is>
          <t>Expense</t>
        </is>
      </c>
      <c r="C7" s="6" t="inlineStr">
        <is>
          <t>COGS</t>
        </is>
      </c>
      <c r="D7" s="6" t="inlineStr">
        <is>
          <t>Supplier payment - goods</t>
        </is>
      </c>
      <c r="E7" s="7" t="n">
        <v>360</v>
      </c>
      <c r="F7" s="6" t="inlineStr">
        <is>
          <t>Cleared</t>
        </is>
      </c>
      <c r="G7" s="6" t="inlineStr">
        <is>
          <t>PO-442</t>
        </is>
      </c>
    </row>
    <row r="8">
      <c r="A8" s="2" t="n">
        <v>46068</v>
      </c>
      <c r="B8" s="3" t="inlineStr">
        <is>
          <t>Revenue</t>
        </is>
      </c>
      <c r="C8" s="3" t="inlineStr">
        <is>
          <t>Sales</t>
        </is>
      </c>
      <c r="D8" s="3" t="inlineStr">
        <is>
          <t>Product sales - Feb wk3</t>
        </is>
      </c>
      <c r="E8" s="4" t="n">
        <v>1100</v>
      </c>
      <c r="F8" s="3" t="inlineStr">
        <is>
          <t>Cleared</t>
        </is>
      </c>
      <c r="G8" s="3" t="inlineStr">
        <is>
          <t>INV-004</t>
        </is>
      </c>
    </row>
    <row r="9">
      <c r="A9" s="5" t="n">
        <v>46071</v>
      </c>
      <c r="B9" s="6" t="inlineStr">
        <is>
          <t>Expense</t>
        </is>
      </c>
      <c r="C9" s="6" t="inlineStr">
        <is>
          <t>Marketing</t>
        </is>
      </c>
      <c r="D9" s="6" t="inlineStr">
        <is>
          <t>Ad spend</t>
        </is>
      </c>
      <c r="E9" s="7" t="n">
        <v>180</v>
      </c>
      <c r="F9" s="6" t="inlineStr">
        <is>
          <t>Cleared</t>
        </is>
      </c>
      <c r="G9" s="6" t="inlineStr">
        <is>
          <t>FB-ADS</t>
        </is>
      </c>
    </row>
    <row r="10">
      <c r="A10" s="2" t="n">
        <v>46073</v>
      </c>
      <c r="B10" s="3" t="inlineStr">
        <is>
          <t>Revenue</t>
        </is>
      </c>
      <c r="C10" s="3" t="inlineStr">
        <is>
          <t>Services</t>
        </is>
      </c>
      <c r="D10" s="3" t="inlineStr">
        <is>
          <t>Consulting fee</t>
        </is>
      </c>
      <c r="E10" s="4" t="n">
        <v>620</v>
      </c>
      <c r="F10" s="3" t="inlineStr">
        <is>
          <t>Pending</t>
        </is>
      </c>
      <c r="G10" s="3" t="inlineStr">
        <is>
          <t>INV-005</t>
        </is>
      </c>
    </row>
    <row r="11">
      <c r="A11" s="5" t="n">
        <v>46075</v>
      </c>
      <c r="B11" s="6" t="inlineStr">
        <is>
          <t>Expense</t>
        </is>
      </c>
      <c r="C11" s="6" t="inlineStr">
        <is>
          <t>COGS</t>
        </is>
      </c>
      <c r="D11" s="6" t="inlineStr">
        <is>
          <t>Supplier payment</t>
        </is>
      </c>
      <c r="E11" s="7" t="n">
        <v>284</v>
      </c>
      <c r="F11" s="6" t="inlineStr">
        <is>
          <t>Cleared</t>
        </is>
      </c>
      <c r="G11" s="6" t="inlineStr">
        <is>
          <t>PO-443</t>
        </is>
      </c>
    </row>
    <row r="12">
      <c r="A12" s="2" t="n">
        <v>46078</v>
      </c>
      <c r="B12" s="3" t="inlineStr">
        <is>
          <t>Revenue</t>
        </is>
      </c>
      <c r="C12" s="3" t="inlineStr">
        <is>
          <t>Sales</t>
        </is>
      </c>
      <c r="D12" s="3" t="inlineStr">
        <is>
          <t>Product sales - Feb wk4</t>
        </is>
      </c>
      <c r="E12" s="4" t="n">
        <v>920</v>
      </c>
      <c r="F12" s="3" t="inlineStr">
        <is>
          <t>Cleared</t>
        </is>
      </c>
      <c r="G12" s="3" t="inlineStr">
        <is>
          <t>INV-006</t>
        </is>
      </c>
    </row>
    <row r="13">
      <c r="A13" s="5" t="n">
        <v>46080</v>
      </c>
      <c r="B13" s="6" t="inlineStr">
        <is>
          <t>Expense</t>
        </is>
      </c>
      <c r="C13" s="6" t="inlineStr">
        <is>
          <t>Overhead</t>
        </is>
      </c>
      <c r="D13" s="6" t="inlineStr">
        <is>
          <t>Misc overhead</t>
        </is>
      </c>
      <c r="E13" s="7" t="n">
        <v>180</v>
      </c>
      <c r="F13" s="6" t="inlineStr">
        <is>
          <t>Cleared</t>
        </is>
      </c>
      <c r="G13" s="6" t="inlineStr">
        <is>
          <t>MISC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F5C518"/>
    <outlinePr summaryBelow="1" summaryRight="1"/>
    <pageSetUpPr/>
  </sheetPr>
  <dimension ref="A1:H1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24" customWidth="1" min="3" max="3"/>
    <col width="16" customWidth="1" min="4" max="4"/>
    <col width="16" customWidth="1" min="5" max="5"/>
    <col width="16" customWidth="1" min="6" max="6"/>
    <col width="14" customWidth="1" min="7" max="7"/>
    <col width="28" customWidth="1" min="8" max="8"/>
  </cols>
  <sheetData>
    <row r="1" ht="30" customHeight="1">
      <c r="A1" s="14" t="inlineStr">
        <is>
          <t>date</t>
        </is>
      </c>
      <c r="B1" s="14" t="inlineStr">
        <is>
          <t>agent_name</t>
        </is>
      </c>
      <c r="C1" s="14" t="inlineStr">
        <is>
          <t>model</t>
        </is>
      </c>
      <c r="D1" s="14" t="inlineStr">
        <is>
          <t>input_tokens</t>
        </is>
      </c>
      <c r="E1" s="14" t="inlineStr">
        <is>
          <t>output_tokens</t>
        </is>
      </c>
      <c r="F1" s="14" t="inlineStr">
        <is>
          <t>total_tokens</t>
        </is>
      </c>
      <c r="G1" s="14" t="inlineStr">
        <is>
          <t>cost_usd</t>
        </is>
      </c>
      <c r="H1" s="14" t="inlineStr">
        <is>
          <t>purpose</t>
        </is>
      </c>
    </row>
    <row r="2">
      <c r="A2" s="2" t="n">
        <v>46054</v>
      </c>
      <c r="B2" s="3" t="inlineStr">
        <is>
          <t>Cliff</t>
        </is>
      </c>
      <c r="C2" s="3" t="inlineStr">
        <is>
          <t>claude-sonnet-4-6</t>
        </is>
      </c>
      <c r="D2" s="3" t="n">
        <v>106729</v>
      </c>
      <c r="E2" s="3" t="n">
        <v>35269</v>
      </c>
      <c r="F2" s="3">
        <f>D2+E2</f>
        <v/>
      </c>
      <c r="G2" s="4" t="n">
        <v>0.849222</v>
      </c>
      <c r="H2" s="3" t="inlineStr">
        <is>
          <t>Analysis</t>
        </is>
      </c>
    </row>
    <row r="3">
      <c r="A3" s="5" t="n">
        <v>46054</v>
      </c>
      <c r="B3" s="6" t="inlineStr">
        <is>
          <t>Scalper V8</t>
        </is>
      </c>
      <c r="C3" s="6" t="inlineStr">
        <is>
          <t>claude-haiku-4-5-20251001</t>
        </is>
      </c>
      <c r="D3" s="6" t="n">
        <v>36370</v>
      </c>
      <c r="E3" s="6" t="n">
        <v>23216</v>
      </c>
      <c r="F3" s="6">
        <f>D3+E3</f>
        <v/>
      </c>
      <c r="G3" s="7" t="n">
        <v>0.0381125</v>
      </c>
      <c r="H3" s="6" t="inlineStr">
        <is>
          <t>Trading</t>
        </is>
      </c>
    </row>
    <row r="4">
      <c r="A4" s="2" t="n">
        <v>46054</v>
      </c>
      <c r="B4" s="3" t="inlineStr">
        <is>
          <t>NorthStar Sales</t>
        </is>
      </c>
      <c r="C4" s="3" t="inlineStr">
        <is>
          <t>claude-haiku-4-5-20251001</t>
        </is>
      </c>
      <c r="D4" s="3" t="n">
        <v>128050</v>
      </c>
      <c r="E4" s="3" t="n">
        <v>35864</v>
      </c>
      <c r="F4" s="3">
        <f>D4+E4</f>
        <v/>
      </c>
      <c r="G4" s="4" t="n">
        <v>0.07684250000000001</v>
      </c>
      <c r="H4" s="3" t="inlineStr">
        <is>
          <t>Sales</t>
        </is>
      </c>
    </row>
    <row r="5">
      <c r="A5" s="5" t="n">
        <v>46054</v>
      </c>
      <c r="B5" s="6" t="inlineStr">
        <is>
          <t>WBR Agent</t>
        </is>
      </c>
      <c r="C5" s="6" t="inlineStr">
        <is>
          <t>claude-sonnet-4-6</t>
        </is>
      </c>
      <c r="D5" s="6" t="n">
        <v>88239</v>
      </c>
      <c r="E5" s="6" t="n">
        <v>27121</v>
      </c>
      <c r="F5" s="6">
        <f>D5+E5</f>
        <v/>
      </c>
      <c r="G5" s="7" t="n">
        <v>0.671532</v>
      </c>
      <c r="H5" s="6" t="inlineStr">
        <is>
          <t>Reporting</t>
        </is>
      </c>
    </row>
    <row r="6">
      <c r="A6" s="2" t="n">
        <v>46055</v>
      </c>
      <c r="B6" s="3" t="inlineStr">
        <is>
          <t>Cliff</t>
        </is>
      </c>
      <c r="C6" s="3" t="inlineStr">
        <is>
          <t>claude-sonnet-4-6</t>
        </is>
      </c>
      <c r="D6" s="3" t="n">
        <v>63325</v>
      </c>
      <c r="E6" s="3" t="n">
        <v>26629</v>
      </c>
      <c r="F6" s="3">
        <f>D6+E6</f>
        <v/>
      </c>
      <c r="G6" s="4" t="n">
        <v>0.58941</v>
      </c>
      <c r="H6" s="3" t="inlineStr">
        <is>
          <t>Analysis</t>
        </is>
      </c>
    </row>
    <row r="7">
      <c r="A7" s="5" t="n">
        <v>46055</v>
      </c>
      <c r="B7" s="6" t="inlineStr">
        <is>
          <t>Scalper V8</t>
        </is>
      </c>
      <c r="C7" s="6" t="inlineStr">
        <is>
          <t>claude-haiku-4-5-20251001</t>
        </is>
      </c>
      <c r="D7" s="6" t="n">
        <v>192989</v>
      </c>
      <c r="E7" s="6" t="n">
        <v>17213</v>
      </c>
      <c r="F7" s="6">
        <f>D7+E7</f>
        <v/>
      </c>
      <c r="G7" s="7" t="n">
        <v>0.06976350000000001</v>
      </c>
      <c r="H7" s="6" t="inlineStr">
        <is>
          <t>Trading</t>
        </is>
      </c>
    </row>
    <row r="8">
      <c r="A8" s="2" t="n">
        <v>46055</v>
      </c>
      <c r="B8" s="3" t="inlineStr">
        <is>
          <t>NorthStar Sales</t>
        </is>
      </c>
      <c r="C8" s="3" t="inlineStr">
        <is>
          <t>claude-haiku-4-5-20251001</t>
        </is>
      </c>
      <c r="D8" s="3" t="n">
        <v>157984</v>
      </c>
      <c r="E8" s="3" t="n">
        <v>10590</v>
      </c>
      <c r="F8" s="3">
        <f>D8+E8</f>
        <v/>
      </c>
      <c r="G8" s="4" t="n">
        <v>0.0527335</v>
      </c>
      <c r="H8" s="3" t="inlineStr">
        <is>
          <t>Sales</t>
        </is>
      </c>
    </row>
    <row r="9">
      <c r="A9" s="5" t="n">
        <v>46055</v>
      </c>
      <c r="B9" s="6" t="inlineStr">
        <is>
          <t>WBR Agent</t>
        </is>
      </c>
      <c r="C9" s="6" t="inlineStr">
        <is>
          <t>claude-sonnet-4-6</t>
        </is>
      </c>
      <c r="D9" s="6" t="n">
        <v>185470</v>
      </c>
      <c r="E9" s="6" t="n">
        <v>21836</v>
      </c>
      <c r="F9" s="6">
        <f>D9+E9</f>
        <v/>
      </c>
      <c r="G9" s="7" t="n">
        <v>0.88395</v>
      </c>
      <c r="H9" s="6" t="inlineStr">
        <is>
          <t>Reporting</t>
        </is>
      </c>
    </row>
    <row r="10">
      <c r="A10" s="2" t="n">
        <v>46056</v>
      </c>
      <c r="B10" s="3" t="inlineStr">
        <is>
          <t>Cliff</t>
        </is>
      </c>
      <c r="C10" s="3" t="inlineStr">
        <is>
          <t>claude-sonnet-4-6</t>
        </is>
      </c>
      <c r="D10" s="3" t="n">
        <v>20028</v>
      </c>
      <c r="E10" s="3" t="n">
        <v>15398</v>
      </c>
      <c r="F10" s="3">
        <f>D10+E10</f>
        <v/>
      </c>
      <c r="G10" s="4" t="n">
        <v>0.291054</v>
      </c>
      <c r="H10" s="3" t="inlineStr">
        <is>
          <t>Analysis</t>
        </is>
      </c>
    </row>
    <row r="11">
      <c r="A11" s="5" t="n">
        <v>46056</v>
      </c>
      <c r="B11" s="6" t="inlineStr">
        <is>
          <t>Scalper V8</t>
        </is>
      </c>
      <c r="C11" s="6" t="inlineStr">
        <is>
          <t>claude-haiku-4-5-20251001</t>
        </is>
      </c>
      <c r="D11" s="6" t="n">
        <v>178570</v>
      </c>
      <c r="E11" s="6" t="n">
        <v>7979</v>
      </c>
      <c r="F11" s="6">
        <f>D11+E11</f>
        <v/>
      </c>
      <c r="G11" s="7" t="n">
        <v>0.05461625000000001</v>
      </c>
      <c r="H11" s="6" t="inlineStr">
        <is>
          <t>Trading</t>
        </is>
      </c>
    </row>
    <row r="12">
      <c r="A12" s="2" t="n">
        <v>46056</v>
      </c>
      <c r="B12" s="3" t="inlineStr">
        <is>
          <t>NorthStar Sales</t>
        </is>
      </c>
      <c r="C12" s="3" t="inlineStr">
        <is>
          <t>claude-haiku-4-5-20251001</t>
        </is>
      </c>
      <c r="D12" s="3" t="n">
        <v>108221</v>
      </c>
      <c r="E12" s="3" t="n">
        <v>13769</v>
      </c>
      <c r="F12" s="3">
        <f>D12+E12</f>
        <v/>
      </c>
      <c r="G12" s="4" t="n">
        <v>0.0442665</v>
      </c>
      <c r="H12" s="3" t="inlineStr">
        <is>
          <t>Sales</t>
        </is>
      </c>
    </row>
    <row r="13">
      <c r="A13" s="5" t="n">
        <v>46056</v>
      </c>
      <c r="B13" s="6" t="inlineStr">
        <is>
          <t>WBR Agent</t>
        </is>
      </c>
      <c r="C13" s="6" t="inlineStr">
        <is>
          <t>claude-sonnet-4-6</t>
        </is>
      </c>
      <c r="D13" s="6" t="n">
        <v>160465</v>
      </c>
      <c r="E13" s="6" t="n">
        <v>22112</v>
      </c>
      <c r="F13" s="6">
        <f>D13+E13</f>
        <v/>
      </c>
      <c r="G13" s="7" t="n">
        <v>0.813075</v>
      </c>
      <c r="H13" s="6" t="inlineStr">
        <is>
          <t>Reporting</t>
        </is>
      </c>
    </row>
    <row r="14">
      <c r="A14" s="2" t="n">
        <v>46057</v>
      </c>
      <c r="B14" s="3" t="inlineStr">
        <is>
          <t>Cliff</t>
        </is>
      </c>
      <c r="C14" s="3" t="inlineStr">
        <is>
          <t>claude-sonnet-4-6</t>
        </is>
      </c>
      <c r="D14" s="3" t="n">
        <v>133288</v>
      </c>
      <c r="E14" s="3" t="n">
        <v>26349</v>
      </c>
      <c r="F14" s="3">
        <f>D14+E14</f>
        <v/>
      </c>
      <c r="G14" s="4" t="n">
        <v>0.795099</v>
      </c>
      <c r="H14" s="3" t="inlineStr">
        <is>
          <t>Analysis</t>
        </is>
      </c>
    </row>
    <row r="15">
      <c r="A15" s="5" t="n">
        <v>46057</v>
      </c>
      <c r="B15" s="6" t="inlineStr">
        <is>
          <t>Scalper V8</t>
        </is>
      </c>
      <c r="C15" s="6" t="inlineStr">
        <is>
          <t>claude-haiku-4-5-20251001</t>
        </is>
      </c>
      <c r="D15" s="6" t="n">
        <v>142336</v>
      </c>
      <c r="E15" s="6" t="n">
        <v>22949</v>
      </c>
      <c r="F15" s="6">
        <f>D15+E15</f>
        <v/>
      </c>
      <c r="G15" s="7" t="n">
        <v>0.06427025</v>
      </c>
      <c r="H15" s="6" t="inlineStr">
        <is>
          <t>Trading</t>
        </is>
      </c>
    </row>
    <row r="16">
      <c r="A16" s="2" t="n">
        <v>46057</v>
      </c>
      <c r="B16" s="3" t="inlineStr">
        <is>
          <t>NorthStar Sales</t>
        </is>
      </c>
      <c r="C16" s="3" t="inlineStr">
        <is>
          <t>claude-haiku-4-5-20251001</t>
        </is>
      </c>
      <c r="D16" s="3" t="n">
        <v>135271</v>
      </c>
      <c r="E16" s="3" t="n">
        <v>10304</v>
      </c>
      <c r="F16" s="3">
        <f>D16+E16</f>
        <v/>
      </c>
      <c r="G16" s="4" t="n">
        <v>0.04669775</v>
      </c>
      <c r="H16" s="3" t="inlineStr">
        <is>
          <t>Sales</t>
        </is>
      </c>
    </row>
    <row r="17">
      <c r="A17" s="5" t="n">
        <v>46057</v>
      </c>
      <c r="B17" s="6" t="inlineStr">
        <is>
          <t>WBR Agent</t>
        </is>
      </c>
      <c r="C17" s="6" t="inlineStr">
        <is>
          <t>claude-sonnet-4-6</t>
        </is>
      </c>
      <c r="D17" s="6" t="n">
        <v>182437</v>
      </c>
      <c r="E17" s="6" t="n">
        <v>25011</v>
      </c>
      <c r="F17" s="6">
        <f>D17+E17</f>
        <v/>
      </c>
      <c r="G17" s="7" t="n">
        <v>0.922476</v>
      </c>
      <c r="H17" s="6" t="inlineStr">
        <is>
          <t>Reporting</t>
        </is>
      </c>
    </row>
    <row r="18">
      <c r="A18" s="2" t="n">
        <v>46058</v>
      </c>
      <c r="B18" s="3" t="inlineStr">
        <is>
          <t>Cliff</t>
        </is>
      </c>
      <c r="C18" s="3" t="inlineStr">
        <is>
          <t>claude-sonnet-4-6</t>
        </is>
      </c>
      <c r="D18" s="3" t="n">
        <v>28587</v>
      </c>
      <c r="E18" s="3" t="n">
        <v>19809</v>
      </c>
      <c r="F18" s="3">
        <f>D18+E18</f>
        <v/>
      </c>
      <c r="G18" s="4" t="n">
        <v>0.382896</v>
      </c>
      <c r="H18" s="3" t="inlineStr">
        <is>
          <t>Analysis</t>
        </is>
      </c>
    </row>
    <row r="19">
      <c r="A19" s="5" t="n">
        <v>46058</v>
      </c>
      <c r="B19" s="6" t="inlineStr">
        <is>
          <t>Scalper V8</t>
        </is>
      </c>
      <c r="C19" s="6" t="inlineStr">
        <is>
          <t>claude-haiku-4-5-20251001</t>
        </is>
      </c>
      <c r="D19" s="6" t="n">
        <v>176304</v>
      </c>
      <c r="E19" s="6" t="n">
        <v>21821</v>
      </c>
      <c r="F19" s="6">
        <f>D19+E19</f>
        <v/>
      </c>
      <c r="G19" s="7" t="n">
        <v>0.07135225000000001</v>
      </c>
      <c r="H19" s="6" t="inlineStr">
        <is>
          <t>Trading</t>
        </is>
      </c>
    </row>
    <row r="20">
      <c r="A20" s="2" t="n">
        <v>46058</v>
      </c>
      <c r="B20" s="3" t="inlineStr">
        <is>
          <t>NorthStar Sales</t>
        </is>
      </c>
      <c r="C20" s="3" t="inlineStr">
        <is>
          <t>claude-haiku-4-5-20251001</t>
        </is>
      </c>
      <c r="D20" s="3" t="n">
        <v>36336</v>
      </c>
      <c r="E20" s="3" t="n">
        <v>36530</v>
      </c>
      <c r="F20" s="3">
        <f>D20+E20</f>
        <v/>
      </c>
      <c r="G20" s="4" t="n">
        <v>0.0547465</v>
      </c>
      <c r="H20" s="3" t="inlineStr">
        <is>
          <t>Sales</t>
        </is>
      </c>
    </row>
    <row r="21">
      <c r="A21" s="5" t="n">
        <v>46058</v>
      </c>
      <c r="B21" s="6" t="inlineStr">
        <is>
          <t>WBR Agent</t>
        </is>
      </c>
      <c r="C21" s="6" t="inlineStr">
        <is>
          <t>claude-sonnet-4-6</t>
        </is>
      </c>
      <c r="D21" s="6" t="n">
        <v>131669</v>
      </c>
      <c r="E21" s="6" t="n">
        <v>36161</v>
      </c>
      <c r="F21" s="6">
        <f>D21+E21</f>
        <v/>
      </c>
      <c r="G21" s="7" t="n">
        <v>0.937422</v>
      </c>
      <c r="H21" s="6" t="inlineStr">
        <is>
          <t>Reporting</t>
        </is>
      </c>
    </row>
    <row r="22">
      <c r="A22" s="2" t="n">
        <v>46059</v>
      </c>
      <c r="B22" s="3" t="inlineStr">
        <is>
          <t>Cliff</t>
        </is>
      </c>
      <c r="C22" s="3" t="inlineStr">
        <is>
          <t>claude-sonnet-4-6</t>
        </is>
      </c>
      <c r="D22" s="3" t="n">
        <v>70858</v>
      </c>
      <c r="E22" s="3" t="n">
        <v>35260</v>
      </c>
      <c r="F22" s="3">
        <f>D22+E22</f>
        <v/>
      </c>
      <c r="G22" s="4" t="n">
        <v>0.7414740000000001</v>
      </c>
      <c r="H22" s="3" t="inlineStr">
        <is>
          <t>Analysis</t>
        </is>
      </c>
    </row>
    <row r="23">
      <c r="A23" s="5" t="n">
        <v>46059</v>
      </c>
      <c r="B23" s="6" t="inlineStr">
        <is>
          <t>Scalper V8</t>
        </is>
      </c>
      <c r="C23" s="6" t="inlineStr">
        <is>
          <t>claude-haiku-4-5-20251001</t>
        </is>
      </c>
      <c r="D23" s="6" t="n">
        <v>89073</v>
      </c>
      <c r="E23" s="6" t="n">
        <v>11531</v>
      </c>
      <c r="F23" s="6">
        <f>D23+E23</f>
        <v/>
      </c>
      <c r="G23" s="7" t="n">
        <v>0.036682</v>
      </c>
      <c r="H23" s="6" t="inlineStr">
        <is>
          <t>Trading</t>
        </is>
      </c>
    </row>
    <row r="24">
      <c r="A24" s="2" t="n">
        <v>46059</v>
      </c>
      <c r="B24" s="3" t="inlineStr">
        <is>
          <t>NorthStar Sales</t>
        </is>
      </c>
      <c r="C24" s="3" t="inlineStr">
        <is>
          <t>claude-haiku-4-5-20251001</t>
        </is>
      </c>
      <c r="D24" s="3" t="n">
        <v>102893</v>
      </c>
      <c r="E24" s="3" t="n">
        <v>13452</v>
      </c>
      <c r="F24" s="3">
        <f>D24+E24</f>
        <v/>
      </c>
      <c r="G24" s="4" t="n">
        <v>0.04253825</v>
      </c>
      <c r="H24" s="3" t="inlineStr">
        <is>
          <t>Sales</t>
        </is>
      </c>
    </row>
    <row r="25">
      <c r="A25" s="5" t="n">
        <v>46059</v>
      </c>
      <c r="B25" s="6" t="inlineStr">
        <is>
          <t>WBR Agent</t>
        </is>
      </c>
      <c r="C25" s="6" t="inlineStr">
        <is>
          <t>claude-sonnet-4-6</t>
        </is>
      </c>
      <c r="D25" s="6" t="n">
        <v>61692</v>
      </c>
      <c r="E25" s="6" t="n">
        <v>23540</v>
      </c>
      <c r="F25" s="6">
        <f>D25+E25</f>
        <v/>
      </c>
      <c r="G25" s="7" t="n">
        <v>0.538176</v>
      </c>
      <c r="H25" s="6" t="inlineStr">
        <is>
          <t>Reporting</t>
        </is>
      </c>
    </row>
    <row r="26">
      <c r="A26" s="2" t="n">
        <v>46060</v>
      </c>
      <c r="B26" s="3" t="inlineStr">
        <is>
          <t>Cliff</t>
        </is>
      </c>
      <c r="C26" s="3" t="inlineStr">
        <is>
          <t>claude-sonnet-4-6</t>
        </is>
      </c>
      <c r="D26" s="3" t="n">
        <v>140770</v>
      </c>
      <c r="E26" s="3" t="n">
        <v>17361</v>
      </c>
      <c r="F26" s="3">
        <f>D26+E26</f>
        <v/>
      </c>
      <c r="G26" s="4" t="n">
        <v>0.682725</v>
      </c>
      <c r="H26" s="3" t="inlineStr">
        <is>
          <t>Analysis</t>
        </is>
      </c>
    </row>
    <row r="27">
      <c r="A27" s="5" t="n">
        <v>46060</v>
      </c>
      <c r="B27" s="6" t="inlineStr">
        <is>
          <t>Scalper V8</t>
        </is>
      </c>
      <c r="C27" s="6" t="inlineStr">
        <is>
          <t>claude-haiku-4-5-20251001</t>
        </is>
      </c>
      <c r="D27" s="6" t="n">
        <v>40910</v>
      </c>
      <c r="E27" s="6" t="n">
        <v>9710</v>
      </c>
      <c r="F27" s="6">
        <f>D27+E27</f>
        <v/>
      </c>
      <c r="G27" s="7" t="n">
        <v>0.022365</v>
      </c>
      <c r="H27" s="6" t="inlineStr">
        <is>
          <t>Trading</t>
        </is>
      </c>
    </row>
    <row r="28">
      <c r="A28" s="2" t="n">
        <v>46060</v>
      </c>
      <c r="B28" s="3" t="inlineStr">
        <is>
          <t>NorthStar Sales</t>
        </is>
      </c>
      <c r="C28" s="3" t="inlineStr">
        <is>
          <t>claude-haiku-4-5-20251001</t>
        </is>
      </c>
      <c r="D28" s="3" t="n">
        <v>35864</v>
      </c>
      <c r="E28" s="3" t="n">
        <v>17766</v>
      </c>
      <c r="F28" s="3">
        <f>D28+E28</f>
        <v/>
      </c>
      <c r="G28" s="4" t="n">
        <v>0.0311735</v>
      </c>
      <c r="H28" s="3" t="inlineStr">
        <is>
          <t>Sales</t>
        </is>
      </c>
    </row>
    <row r="29">
      <c r="A29" s="5" t="n">
        <v>46060</v>
      </c>
      <c r="B29" s="6" t="inlineStr">
        <is>
          <t>WBR Agent</t>
        </is>
      </c>
      <c r="C29" s="6" t="inlineStr">
        <is>
          <t>claude-sonnet-4-6</t>
        </is>
      </c>
      <c r="D29" s="6" t="n">
        <v>162526</v>
      </c>
      <c r="E29" s="6" t="n">
        <v>23240</v>
      </c>
      <c r="F29" s="6">
        <f>D29+E29</f>
        <v/>
      </c>
      <c r="G29" s="7" t="n">
        <v>0.8361780000000001</v>
      </c>
      <c r="H29" s="6" t="inlineStr">
        <is>
          <t>Reporting</t>
        </is>
      </c>
    </row>
    <row r="30">
      <c r="A30" s="2" t="n">
        <v>46061</v>
      </c>
      <c r="B30" s="3" t="inlineStr">
        <is>
          <t>Cliff</t>
        </is>
      </c>
      <c r="C30" s="3" t="inlineStr">
        <is>
          <t>claude-sonnet-4-6</t>
        </is>
      </c>
      <c r="D30" s="3" t="n">
        <v>183605</v>
      </c>
      <c r="E30" s="3" t="n">
        <v>27919</v>
      </c>
      <c r="F30" s="3">
        <f>D30+E30</f>
        <v/>
      </c>
      <c r="G30" s="4" t="n">
        <v>0.9695999999999999</v>
      </c>
      <c r="H30" s="3" t="inlineStr">
        <is>
          <t>Analysis</t>
        </is>
      </c>
    </row>
    <row r="31">
      <c r="A31" s="5" t="n">
        <v>46061</v>
      </c>
      <c r="B31" s="6" t="inlineStr">
        <is>
          <t>Scalper V8</t>
        </is>
      </c>
      <c r="C31" s="6" t="inlineStr">
        <is>
          <t>claude-haiku-4-5-20251001</t>
        </is>
      </c>
      <c r="D31" s="6" t="n">
        <v>64047</v>
      </c>
      <c r="E31" s="6" t="n">
        <v>37596</v>
      </c>
      <c r="F31" s="6">
        <f>D31+E31</f>
        <v/>
      </c>
      <c r="G31" s="7" t="n">
        <v>0.06300675</v>
      </c>
      <c r="H31" s="6" t="inlineStr">
        <is>
          <t>Trading</t>
        </is>
      </c>
    </row>
    <row r="32">
      <c r="A32" s="2" t="n">
        <v>46061</v>
      </c>
      <c r="B32" s="3" t="inlineStr">
        <is>
          <t>NorthStar Sales</t>
        </is>
      </c>
      <c r="C32" s="3" t="inlineStr">
        <is>
          <t>claude-haiku-4-5-20251001</t>
        </is>
      </c>
      <c r="D32" s="3" t="n">
        <v>144975</v>
      </c>
      <c r="E32" s="3" t="n">
        <v>38748</v>
      </c>
      <c r="F32" s="3">
        <f>D32+E32</f>
        <v/>
      </c>
      <c r="G32" s="4" t="n">
        <v>0.08467875</v>
      </c>
      <c r="H32" s="3" t="inlineStr">
        <is>
          <t>Sales</t>
        </is>
      </c>
    </row>
    <row r="33">
      <c r="A33" s="5" t="n">
        <v>46061</v>
      </c>
      <c r="B33" s="6" t="inlineStr">
        <is>
          <t>WBR Agent</t>
        </is>
      </c>
      <c r="C33" s="6" t="inlineStr">
        <is>
          <t>claude-sonnet-4-6</t>
        </is>
      </c>
      <c r="D33" s="6" t="n">
        <v>188389</v>
      </c>
      <c r="E33" s="6" t="n">
        <v>20863</v>
      </c>
      <c r="F33" s="6">
        <f>D33+E33</f>
        <v/>
      </c>
      <c r="G33" s="7" t="n">
        <v>0.878112</v>
      </c>
      <c r="H33" s="6" t="inlineStr">
        <is>
          <t>Reporting</t>
        </is>
      </c>
    </row>
    <row r="34">
      <c r="A34" s="2" t="n">
        <v>46062</v>
      </c>
      <c r="B34" s="3" t="inlineStr">
        <is>
          <t>Cliff</t>
        </is>
      </c>
      <c r="C34" s="3" t="inlineStr">
        <is>
          <t>claude-sonnet-4-6</t>
        </is>
      </c>
      <c r="D34" s="3" t="n">
        <v>176855</v>
      </c>
      <c r="E34" s="3" t="n">
        <v>38653</v>
      </c>
      <c r="F34" s="3">
        <f>D34+E34</f>
        <v/>
      </c>
      <c r="G34" s="4" t="n">
        <v>1.11036</v>
      </c>
      <c r="H34" s="3" t="inlineStr">
        <is>
          <t>Analysis</t>
        </is>
      </c>
    </row>
    <row r="35">
      <c r="A35" s="5" t="n">
        <v>46062</v>
      </c>
      <c r="B35" s="6" t="inlineStr">
        <is>
          <t>Scalper V8</t>
        </is>
      </c>
      <c r="C35" s="6" t="inlineStr">
        <is>
          <t>claude-haiku-4-5-20251001</t>
        </is>
      </c>
      <c r="D35" s="6" t="n">
        <v>150277</v>
      </c>
      <c r="E35" s="6" t="n">
        <v>18400</v>
      </c>
      <c r="F35" s="6">
        <f>D35+E35</f>
        <v/>
      </c>
      <c r="G35" s="7" t="n">
        <v>0.06056925</v>
      </c>
      <c r="H35" s="6" t="inlineStr">
        <is>
          <t>Trading</t>
        </is>
      </c>
    </row>
    <row r="36">
      <c r="A36" s="2" t="n">
        <v>46062</v>
      </c>
      <c r="B36" s="3" t="inlineStr">
        <is>
          <t>NorthStar Sales</t>
        </is>
      </c>
      <c r="C36" s="3" t="inlineStr">
        <is>
          <t>claude-haiku-4-5-20251001</t>
        </is>
      </c>
      <c r="D36" s="3" t="n">
        <v>41340</v>
      </c>
      <c r="E36" s="3" t="n">
        <v>22188</v>
      </c>
      <c r="F36" s="3">
        <f>D36+E36</f>
        <v/>
      </c>
      <c r="G36" s="4" t="n">
        <v>0.03807</v>
      </c>
      <c r="H36" s="3" t="inlineStr">
        <is>
          <t>Sales</t>
        </is>
      </c>
    </row>
    <row r="37">
      <c r="A37" s="5" t="n">
        <v>46062</v>
      </c>
      <c r="B37" s="6" t="inlineStr">
        <is>
          <t>WBR Agent</t>
        </is>
      </c>
      <c r="C37" s="6" t="inlineStr">
        <is>
          <t>claude-sonnet-4-6</t>
        </is>
      </c>
      <c r="D37" s="6" t="n">
        <v>164805</v>
      </c>
      <c r="E37" s="6" t="n">
        <v>6400</v>
      </c>
      <c r="F37" s="6">
        <f>D37+E37</f>
        <v/>
      </c>
      <c r="G37" s="7" t="n">
        <v>0.590415</v>
      </c>
      <c r="H37" s="6" t="inlineStr">
        <is>
          <t>Reporting</t>
        </is>
      </c>
    </row>
    <row r="38">
      <c r="A38" s="2" t="n">
        <v>46063</v>
      </c>
      <c r="B38" s="3" t="inlineStr">
        <is>
          <t>Cliff</t>
        </is>
      </c>
      <c r="C38" s="3" t="inlineStr">
        <is>
          <t>claude-sonnet-4-6</t>
        </is>
      </c>
      <c r="D38" s="3" t="n">
        <v>145934</v>
      </c>
      <c r="E38" s="3" t="n">
        <v>8284</v>
      </c>
      <c r="F38" s="3">
        <f>D38+E38</f>
        <v/>
      </c>
      <c r="G38" s="4" t="n">
        <v>0.5620620000000001</v>
      </c>
      <c r="H38" s="3" t="inlineStr">
        <is>
          <t>Analysis</t>
        </is>
      </c>
    </row>
    <row r="39">
      <c r="A39" s="5" t="n">
        <v>46063</v>
      </c>
      <c r="B39" s="6" t="inlineStr">
        <is>
          <t>Scalper V8</t>
        </is>
      </c>
      <c r="C39" s="6" t="inlineStr">
        <is>
          <t>claude-haiku-4-5-20251001</t>
        </is>
      </c>
      <c r="D39" s="6" t="n">
        <v>179386</v>
      </c>
      <c r="E39" s="6" t="n">
        <v>25063</v>
      </c>
      <c r="F39" s="6">
        <f>D39+E39</f>
        <v/>
      </c>
      <c r="G39" s="7" t="n">
        <v>0.07617525</v>
      </c>
      <c r="H39" s="6" t="inlineStr">
        <is>
          <t>Trading</t>
        </is>
      </c>
    </row>
    <row r="40">
      <c r="A40" s="2" t="n">
        <v>46063</v>
      </c>
      <c r="B40" s="3" t="inlineStr">
        <is>
          <t>NorthStar Sales</t>
        </is>
      </c>
      <c r="C40" s="3" t="inlineStr">
        <is>
          <t>claude-haiku-4-5-20251001</t>
        </is>
      </c>
      <c r="D40" s="3" t="n">
        <v>109894</v>
      </c>
      <c r="E40" s="3" t="n">
        <v>29300</v>
      </c>
      <c r="F40" s="3">
        <f>D40+E40</f>
        <v/>
      </c>
      <c r="G40" s="4" t="n">
        <v>0.0640985</v>
      </c>
      <c r="H40" s="3" t="inlineStr">
        <is>
          <t>Sales</t>
        </is>
      </c>
    </row>
    <row r="41">
      <c r="A41" s="5" t="n">
        <v>46063</v>
      </c>
      <c r="B41" s="6" t="inlineStr">
        <is>
          <t>WBR Agent</t>
        </is>
      </c>
      <c r="C41" s="6" t="inlineStr">
        <is>
          <t>claude-sonnet-4-6</t>
        </is>
      </c>
      <c r="D41" s="6" t="n">
        <v>176276</v>
      </c>
      <c r="E41" s="6" t="n">
        <v>22116</v>
      </c>
      <c r="F41" s="6">
        <f>D41+E41</f>
        <v/>
      </c>
      <c r="G41" s="7" t="n">
        <v>0.860568</v>
      </c>
      <c r="H41" s="6" t="inlineStr">
        <is>
          <t>Reporting</t>
        </is>
      </c>
    </row>
    <row r="42">
      <c r="A42" s="2" t="n">
        <v>46064</v>
      </c>
      <c r="B42" s="3" t="inlineStr">
        <is>
          <t>Cliff</t>
        </is>
      </c>
      <c r="C42" s="3" t="inlineStr">
        <is>
          <t>claude-sonnet-4-6</t>
        </is>
      </c>
      <c r="D42" s="3" t="n">
        <v>196340</v>
      </c>
      <c r="E42" s="3" t="n">
        <v>6747</v>
      </c>
      <c r="F42" s="3">
        <f>D42+E42</f>
        <v/>
      </c>
      <c r="G42" s="4" t="n">
        <v>0.690225</v>
      </c>
      <c r="H42" s="3" t="inlineStr">
        <is>
          <t>Analysis</t>
        </is>
      </c>
    </row>
    <row r="43">
      <c r="A43" s="5" t="n">
        <v>46064</v>
      </c>
      <c r="B43" s="6" t="inlineStr">
        <is>
          <t>Scalper V8</t>
        </is>
      </c>
      <c r="C43" s="6" t="inlineStr">
        <is>
          <t>claude-haiku-4-5-20251001</t>
        </is>
      </c>
      <c r="D43" s="6" t="n">
        <v>28936</v>
      </c>
      <c r="E43" s="6" t="n">
        <v>34987</v>
      </c>
      <c r="F43" s="6">
        <f>D43+E43</f>
        <v/>
      </c>
      <c r="G43" s="7" t="n">
        <v>0.05096774999999999</v>
      </c>
      <c r="H43" s="6" t="inlineStr">
        <is>
          <t>Trading</t>
        </is>
      </c>
    </row>
    <row r="44">
      <c r="A44" s="2" t="n">
        <v>46064</v>
      </c>
      <c r="B44" s="3" t="inlineStr">
        <is>
          <t>NorthStar Sales</t>
        </is>
      </c>
      <c r="C44" s="3" t="inlineStr">
        <is>
          <t>claude-haiku-4-5-20251001</t>
        </is>
      </c>
      <c r="D44" s="3" t="n">
        <v>171447</v>
      </c>
      <c r="E44" s="3" t="n">
        <v>7545</v>
      </c>
      <c r="F44" s="3">
        <f>D44+E44</f>
        <v/>
      </c>
      <c r="G44" s="4" t="n">
        <v>0.05229299999999999</v>
      </c>
      <c r="H44" s="3" t="inlineStr">
        <is>
          <t>Sales</t>
        </is>
      </c>
    </row>
    <row r="45">
      <c r="A45" s="5" t="n">
        <v>46064</v>
      </c>
      <c r="B45" s="6" t="inlineStr">
        <is>
          <t>WBR Agent</t>
        </is>
      </c>
      <c r="C45" s="6" t="inlineStr">
        <is>
          <t>claude-sonnet-4-6</t>
        </is>
      </c>
      <c r="D45" s="6" t="n">
        <v>197043</v>
      </c>
      <c r="E45" s="6" t="n">
        <v>11872</v>
      </c>
      <c r="F45" s="6">
        <f>D45+E45</f>
        <v/>
      </c>
      <c r="G45" s="7" t="n">
        <v>0.769209</v>
      </c>
      <c r="H45" s="6" t="inlineStr">
        <is>
          <t>Reporting</t>
        </is>
      </c>
    </row>
    <row r="46">
      <c r="A46" s="2" t="n">
        <v>46065</v>
      </c>
      <c r="B46" s="3" t="inlineStr">
        <is>
          <t>Cliff</t>
        </is>
      </c>
      <c r="C46" s="3" t="inlineStr">
        <is>
          <t>claude-sonnet-4-6</t>
        </is>
      </c>
      <c r="D46" s="3" t="n">
        <v>172270</v>
      </c>
      <c r="E46" s="3" t="n">
        <v>7563</v>
      </c>
      <c r="F46" s="3">
        <f>D46+E46</f>
        <v/>
      </c>
      <c r="G46" s="4" t="n">
        <v>0.630255</v>
      </c>
      <c r="H46" s="3" t="inlineStr">
        <is>
          <t>Analysis</t>
        </is>
      </c>
    </row>
    <row r="47">
      <c r="A47" s="5" t="n">
        <v>46065</v>
      </c>
      <c r="B47" s="6" t="inlineStr">
        <is>
          <t>Scalper V8</t>
        </is>
      </c>
      <c r="C47" s="6" t="inlineStr">
        <is>
          <t>claude-haiku-4-5-20251001</t>
        </is>
      </c>
      <c r="D47" s="6" t="n">
        <v>32808</v>
      </c>
      <c r="E47" s="6" t="n">
        <v>20100</v>
      </c>
      <c r="F47" s="6">
        <f>D47+E47</f>
        <v/>
      </c>
      <c r="G47" s="7" t="n">
        <v>0.033327</v>
      </c>
      <c r="H47" s="6" t="inlineStr">
        <is>
          <t>Trading</t>
        </is>
      </c>
    </row>
    <row r="48">
      <c r="A48" s="2" t="n">
        <v>46065</v>
      </c>
      <c r="B48" s="3" t="inlineStr">
        <is>
          <t>NorthStar Sales</t>
        </is>
      </c>
      <c r="C48" s="3" t="inlineStr">
        <is>
          <t>claude-haiku-4-5-20251001</t>
        </is>
      </c>
      <c r="D48" s="3" t="n">
        <v>118803</v>
      </c>
      <c r="E48" s="3" t="n">
        <v>34273</v>
      </c>
      <c r="F48" s="3">
        <f>D48+E48</f>
        <v/>
      </c>
      <c r="G48" s="4" t="n">
        <v>0.072542</v>
      </c>
      <c r="H48" s="3" t="inlineStr">
        <is>
          <t>Sales</t>
        </is>
      </c>
    </row>
    <row r="49">
      <c r="A49" s="5" t="n">
        <v>46065</v>
      </c>
      <c r="B49" s="6" t="inlineStr">
        <is>
          <t>WBR Agent</t>
        </is>
      </c>
      <c r="C49" s="6" t="inlineStr">
        <is>
          <t>claude-sonnet-4-6</t>
        </is>
      </c>
      <c r="D49" s="6" t="n">
        <v>119196</v>
      </c>
      <c r="E49" s="6" t="n">
        <v>6008</v>
      </c>
      <c r="F49" s="6">
        <f>D49+E49</f>
        <v/>
      </c>
      <c r="G49" s="7" t="n">
        <v>0.447708</v>
      </c>
      <c r="H49" s="6" t="inlineStr">
        <is>
          <t>Reporting</t>
        </is>
      </c>
    </row>
    <row r="50">
      <c r="A50" s="2" t="n">
        <v>46066</v>
      </c>
      <c r="B50" s="3" t="inlineStr">
        <is>
          <t>Cliff</t>
        </is>
      </c>
      <c r="C50" s="3" t="inlineStr">
        <is>
          <t>claude-sonnet-4-6</t>
        </is>
      </c>
      <c r="D50" s="3" t="n">
        <v>86681</v>
      </c>
      <c r="E50" s="3" t="n">
        <v>33354</v>
      </c>
      <c r="F50" s="3">
        <f>D50+E50</f>
        <v/>
      </c>
      <c r="G50" s="4" t="n">
        <v>0.7603530000000001</v>
      </c>
      <c r="H50" s="3" t="inlineStr">
        <is>
          <t>Analysis</t>
        </is>
      </c>
    </row>
    <row r="51">
      <c r="A51" s="5" t="n">
        <v>46066</v>
      </c>
      <c r="B51" s="6" t="inlineStr">
        <is>
          <t>Scalper V8</t>
        </is>
      </c>
      <c r="C51" s="6" t="inlineStr">
        <is>
          <t>claude-haiku-4-5-20251001</t>
        </is>
      </c>
      <c r="D51" s="6" t="n">
        <v>78914</v>
      </c>
      <c r="E51" s="6" t="n">
        <v>31899</v>
      </c>
      <c r="F51" s="6">
        <f>D51+E51</f>
        <v/>
      </c>
      <c r="G51" s="7" t="n">
        <v>0.05960225</v>
      </c>
      <c r="H51" s="6" t="inlineStr">
        <is>
          <t>Trading</t>
        </is>
      </c>
    </row>
    <row r="52">
      <c r="A52" s="2" t="n">
        <v>46066</v>
      </c>
      <c r="B52" s="3" t="inlineStr">
        <is>
          <t>NorthStar Sales</t>
        </is>
      </c>
      <c r="C52" s="3" t="inlineStr">
        <is>
          <t>claude-haiku-4-5-20251001</t>
        </is>
      </c>
      <c r="D52" s="3" t="n">
        <v>62716</v>
      </c>
      <c r="E52" s="3" t="n">
        <v>27885</v>
      </c>
      <c r="F52" s="3">
        <f>D52+E52</f>
        <v/>
      </c>
      <c r="G52" s="4" t="n">
        <v>0.05053525</v>
      </c>
      <c r="H52" s="3" t="inlineStr">
        <is>
          <t>Sales</t>
        </is>
      </c>
    </row>
    <row r="53">
      <c r="A53" s="5" t="n">
        <v>46066</v>
      </c>
      <c r="B53" s="6" t="inlineStr">
        <is>
          <t>WBR Agent</t>
        </is>
      </c>
      <c r="C53" s="6" t="inlineStr">
        <is>
          <t>claude-sonnet-4-6</t>
        </is>
      </c>
      <c r="D53" s="6" t="n">
        <v>129496</v>
      </c>
      <c r="E53" s="6" t="n">
        <v>9916</v>
      </c>
      <c r="F53" s="6">
        <f>D53+E53</f>
        <v/>
      </c>
      <c r="G53" s="7" t="n">
        <v>0.537228</v>
      </c>
      <c r="H53" s="6" t="inlineStr">
        <is>
          <t>Reporting</t>
        </is>
      </c>
    </row>
    <row r="54">
      <c r="A54" s="2" t="n">
        <v>46067</v>
      </c>
      <c r="B54" s="3" t="inlineStr">
        <is>
          <t>Cliff</t>
        </is>
      </c>
      <c r="C54" s="3" t="inlineStr">
        <is>
          <t>claude-sonnet-4-6</t>
        </is>
      </c>
      <c r="D54" s="3" t="n">
        <v>163536</v>
      </c>
      <c r="E54" s="3" t="n">
        <v>37504</v>
      </c>
      <c r="F54" s="3">
        <f>D54+E54</f>
        <v/>
      </c>
      <c r="G54" s="4" t="n">
        <v>1.053168</v>
      </c>
      <c r="H54" s="3" t="inlineStr">
        <is>
          <t>Analysis</t>
        </is>
      </c>
    </row>
    <row r="55">
      <c r="A55" s="5" t="n">
        <v>46067</v>
      </c>
      <c r="B55" s="6" t="inlineStr">
        <is>
          <t>Scalper V8</t>
        </is>
      </c>
      <c r="C55" s="6" t="inlineStr">
        <is>
          <t>claude-haiku-4-5-20251001</t>
        </is>
      </c>
      <c r="D55" s="6" t="n">
        <v>166789</v>
      </c>
      <c r="E55" s="6" t="n">
        <v>13454</v>
      </c>
      <c r="F55" s="6">
        <f>D55+E55</f>
        <v/>
      </c>
      <c r="G55" s="7" t="n">
        <v>0.05851475</v>
      </c>
      <c r="H55" s="6" t="inlineStr">
        <is>
          <t>Trading</t>
        </is>
      </c>
    </row>
    <row r="56">
      <c r="A56" s="2" t="n">
        <v>46067</v>
      </c>
      <c r="B56" s="3" t="inlineStr">
        <is>
          <t>NorthStar Sales</t>
        </is>
      </c>
      <c r="C56" s="3" t="inlineStr">
        <is>
          <t>claude-haiku-4-5-20251001</t>
        </is>
      </c>
      <c r="D56" s="3" t="n">
        <v>24958</v>
      </c>
      <c r="E56" s="3" t="n">
        <v>30941</v>
      </c>
      <c r="F56" s="3">
        <f>D56+E56</f>
        <v/>
      </c>
      <c r="G56" s="4" t="n">
        <v>0.04491575</v>
      </c>
      <c r="H56" s="3" t="inlineStr">
        <is>
          <t>Sales</t>
        </is>
      </c>
    </row>
    <row r="57">
      <c r="A57" s="5" t="n">
        <v>46067</v>
      </c>
      <c r="B57" s="6" t="inlineStr">
        <is>
          <t>WBR Agent</t>
        </is>
      </c>
      <c r="C57" s="6" t="inlineStr">
        <is>
          <t>claude-sonnet-4-6</t>
        </is>
      </c>
      <c r="D57" s="6" t="n">
        <v>104932</v>
      </c>
      <c r="E57" s="6" t="n">
        <v>28735</v>
      </c>
      <c r="F57" s="6">
        <f>D57+E57</f>
        <v/>
      </c>
      <c r="G57" s="7" t="n">
        <v>0.745821</v>
      </c>
      <c r="H57" s="6" t="inlineStr">
        <is>
          <t>Reporting</t>
        </is>
      </c>
    </row>
    <row r="58">
      <c r="A58" s="2" t="n">
        <v>46068</v>
      </c>
      <c r="B58" s="3" t="inlineStr">
        <is>
          <t>Cliff</t>
        </is>
      </c>
      <c r="C58" s="3" t="inlineStr">
        <is>
          <t>claude-sonnet-4-6</t>
        </is>
      </c>
      <c r="D58" s="3" t="n">
        <v>199269</v>
      </c>
      <c r="E58" s="3" t="n">
        <v>30549</v>
      </c>
      <c r="F58" s="3">
        <f>D58+E58</f>
        <v/>
      </c>
      <c r="G58" s="4" t="n">
        <v>1.056042</v>
      </c>
      <c r="H58" s="3" t="inlineStr">
        <is>
          <t>Analysis</t>
        </is>
      </c>
    </row>
    <row r="59">
      <c r="A59" s="5" t="n">
        <v>46068</v>
      </c>
      <c r="B59" s="6" t="inlineStr">
        <is>
          <t>Scalper V8</t>
        </is>
      </c>
      <c r="C59" s="6" t="inlineStr">
        <is>
          <t>claude-haiku-4-5-20251001</t>
        </is>
      </c>
      <c r="D59" s="6" t="n">
        <v>154909</v>
      </c>
      <c r="E59" s="6" t="n">
        <v>24111</v>
      </c>
      <c r="F59" s="6">
        <f>D59+E59</f>
        <v/>
      </c>
      <c r="G59" s="7" t="n">
        <v>0.068866</v>
      </c>
      <c r="H59" s="6" t="inlineStr">
        <is>
          <t>Trading</t>
        </is>
      </c>
    </row>
    <row r="60">
      <c r="A60" s="2" t="n">
        <v>46068</v>
      </c>
      <c r="B60" s="3" t="inlineStr">
        <is>
          <t>NorthStar Sales</t>
        </is>
      </c>
      <c r="C60" s="3" t="inlineStr">
        <is>
          <t>claude-haiku-4-5-20251001</t>
        </is>
      </c>
      <c r="D60" s="3" t="n">
        <v>93493</v>
      </c>
      <c r="E60" s="3" t="n">
        <v>22635</v>
      </c>
      <c r="F60" s="3">
        <f>D60+E60</f>
        <v/>
      </c>
      <c r="G60" s="4" t="n">
        <v>0.051667</v>
      </c>
      <c r="H60" s="3" t="inlineStr">
        <is>
          <t>Sales</t>
        </is>
      </c>
    </row>
    <row r="61">
      <c r="A61" s="5" t="n">
        <v>46068</v>
      </c>
      <c r="B61" s="6" t="inlineStr">
        <is>
          <t>WBR Agent</t>
        </is>
      </c>
      <c r="C61" s="6" t="inlineStr">
        <is>
          <t>claude-sonnet-4-6</t>
        </is>
      </c>
      <c r="D61" s="6" t="n">
        <v>179161</v>
      </c>
      <c r="E61" s="6" t="n">
        <v>12197</v>
      </c>
      <c r="F61" s="6">
        <f>D61+E61</f>
        <v/>
      </c>
      <c r="G61" s="7" t="n">
        <v>0.7204379999999999</v>
      </c>
      <c r="H61" s="6" t="inlineStr">
        <is>
          <t>Reporting</t>
        </is>
      </c>
    </row>
    <row r="62">
      <c r="A62" s="2" t="n">
        <v>46069</v>
      </c>
      <c r="B62" s="3" t="inlineStr">
        <is>
          <t>Cliff</t>
        </is>
      </c>
      <c r="C62" s="3" t="inlineStr">
        <is>
          <t>claude-sonnet-4-6</t>
        </is>
      </c>
      <c r="D62" s="3" t="n">
        <v>32527</v>
      </c>
      <c r="E62" s="3" t="n">
        <v>16563</v>
      </c>
      <c r="F62" s="3">
        <f>D62+E62</f>
        <v/>
      </c>
      <c r="G62" s="4" t="n">
        <v>0.3460260000000001</v>
      </c>
      <c r="H62" s="3" t="inlineStr">
        <is>
          <t>Analysis</t>
        </is>
      </c>
    </row>
    <row r="63">
      <c r="A63" s="5" t="n">
        <v>46069</v>
      </c>
      <c r="B63" s="6" t="inlineStr">
        <is>
          <t>Scalper V8</t>
        </is>
      </c>
      <c r="C63" s="6" t="inlineStr">
        <is>
          <t>claude-haiku-4-5-20251001</t>
        </is>
      </c>
      <c r="D63" s="6" t="n">
        <v>54006</v>
      </c>
      <c r="E63" s="6" t="n">
        <v>28897</v>
      </c>
      <c r="F63" s="6">
        <f>D63+E63</f>
        <v/>
      </c>
      <c r="G63" s="7" t="n">
        <v>0.04962275</v>
      </c>
      <c r="H63" s="6" t="inlineStr">
        <is>
          <t>Trading</t>
        </is>
      </c>
    </row>
    <row r="64">
      <c r="A64" s="2" t="n">
        <v>46069</v>
      </c>
      <c r="B64" s="3" t="inlineStr">
        <is>
          <t>NorthStar Sales</t>
        </is>
      </c>
      <c r="C64" s="3" t="inlineStr">
        <is>
          <t>claude-haiku-4-5-20251001</t>
        </is>
      </c>
      <c r="D64" s="3" t="n">
        <v>166587</v>
      </c>
      <c r="E64" s="3" t="n">
        <v>8054</v>
      </c>
      <c r="F64" s="3">
        <f>D64+E64</f>
        <v/>
      </c>
      <c r="G64" s="4" t="n">
        <v>0.05171425</v>
      </c>
      <c r="H64" s="3" t="inlineStr">
        <is>
          <t>Sales</t>
        </is>
      </c>
    </row>
    <row r="65">
      <c r="A65" s="5" t="n">
        <v>46069</v>
      </c>
      <c r="B65" s="6" t="inlineStr">
        <is>
          <t>WBR Agent</t>
        </is>
      </c>
      <c r="C65" s="6" t="inlineStr">
        <is>
          <t>claude-sonnet-4-6</t>
        </is>
      </c>
      <c r="D65" s="6" t="n">
        <v>161768</v>
      </c>
      <c r="E65" s="6" t="n">
        <v>30676</v>
      </c>
      <c r="F65" s="6">
        <f>D65+E65</f>
        <v/>
      </c>
      <c r="G65" s="7" t="n">
        <v>0.945444</v>
      </c>
      <c r="H65" s="6" t="inlineStr">
        <is>
          <t>Reporting</t>
        </is>
      </c>
    </row>
    <row r="66">
      <c r="A66" s="2" t="n">
        <v>46070</v>
      </c>
      <c r="B66" s="3" t="inlineStr">
        <is>
          <t>Cliff</t>
        </is>
      </c>
      <c r="C66" s="3" t="inlineStr">
        <is>
          <t>claude-sonnet-4-6</t>
        </is>
      </c>
      <c r="D66" s="3" t="n">
        <v>195329</v>
      </c>
      <c r="E66" s="3" t="n">
        <v>6356</v>
      </c>
      <c r="F66" s="3">
        <f>D66+E66</f>
        <v/>
      </c>
      <c r="G66" s="4" t="n">
        <v>0.681327</v>
      </c>
      <c r="H66" s="3" t="inlineStr">
        <is>
          <t>Analysis</t>
        </is>
      </c>
    </row>
    <row r="67">
      <c r="A67" s="5" t="n">
        <v>46070</v>
      </c>
      <c r="B67" s="6" t="inlineStr">
        <is>
          <t>Scalper V8</t>
        </is>
      </c>
      <c r="C67" s="6" t="inlineStr">
        <is>
          <t>claude-haiku-4-5-20251001</t>
        </is>
      </c>
      <c r="D67" s="6" t="n">
        <v>134277</v>
      </c>
      <c r="E67" s="6" t="n">
        <v>22225</v>
      </c>
      <c r="F67" s="6">
        <f>D67+E67</f>
        <v/>
      </c>
      <c r="G67" s="7" t="n">
        <v>0.0613505</v>
      </c>
      <c r="H67" s="6" t="inlineStr">
        <is>
          <t>Trading</t>
        </is>
      </c>
    </row>
    <row r="68">
      <c r="A68" s="2" t="n">
        <v>46070</v>
      </c>
      <c r="B68" s="3" t="inlineStr">
        <is>
          <t>NorthStar Sales</t>
        </is>
      </c>
      <c r="C68" s="3" t="inlineStr">
        <is>
          <t>claude-haiku-4-5-20251001</t>
        </is>
      </c>
      <c r="D68" s="3" t="n">
        <v>99943</v>
      </c>
      <c r="E68" s="3" t="n">
        <v>22585</v>
      </c>
      <c r="F68" s="3">
        <f>D68+E68</f>
        <v/>
      </c>
      <c r="G68" s="4" t="n">
        <v>0.053217</v>
      </c>
      <c r="H68" s="3" t="inlineStr">
        <is>
          <t>Sales</t>
        </is>
      </c>
    </row>
    <row r="69">
      <c r="A69" s="5" t="n">
        <v>46070</v>
      </c>
      <c r="B69" s="6" t="inlineStr">
        <is>
          <t>WBR Agent</t>
        </is>
      </c>
      <c r="C69" s="6" t="inlineStr">
        <is>
          <t>claude-sonnet-4-6</t>
        </is>
      </c>
      <c r="D69" s="6" t="n">
        <v>131638</v>
      </c>
      <c r="E69" s="6" t="n">
        <v>14984</v>
      </c>
      <c r="F69" s="6">
        <f>D69+E69</f>
        <v/>
      </c>
      <c r="G69" s="7" t="n">
        <v>0.6196740000000001</v>
      </c>
      <c r="H69" s="6" t="inlineStr">
        <is>
          <t>Reporting</t>
        </is>
      </c>
    </row>
    <row r="70">
      <c r="A70" s="2" t="n">
        <v>46071</v>
      </c>
      <c r="B70" s="3" t="inlineStr">
        <is>
          <t>Cliff</t>
        </is>
      </c>
      <c r="C70" s="3" t="inlineStr">
        <is>
          <t>claude-sonnet-4-6</t>
        </is>
      </c>
      <c r="D70" s="3" t="n">
        <v>54216</v>
      </c>
      <c r="E70" s="3" t="n">
        <v>38693</v>
      </c>
      <c r="F70" s="3">
        <f>D70+E70</f>
        <v/>
      </c>
      <c r="G70" s="4" t="n">
        <v>0.743043</v>
      </c>
      <c r="H70" s="3" t="inlineStr">
        <is>
          <t>Analysis</t>
        </is>
      </c>
    </row>
    <row r="71">
      <c r="A71" s="5" t="n">
        <v>46071</v>
      </c>
      <c r="B71" s="6" t="inlineStr">
        <is>
          <t>Scalper V8</t>
        </is>
      </c>
      <c r="C71" s="6" t="inlineStr">
        <is>
          <t>claude-haiku-4-5-20251001</t>
        </is>
      </c>
      <c r="D71" s="6" t="n">
        <v>150147</v>
      </c>
      <c r="E71" s="6" t="n">
        <v>19141</v>
      </c>
      <c r="F71" s="6">
        <f>D71+E71</f>
        <v/>
      </c>
      <c r="G71" s="7" t="n">
        <v>0.061463</v>
      </c>
      <c r="H71" s="6" t="inlineStr">
        <is>
          <t>Trading</t>
        </is>
      </c>
    </row>
    <row r="72">
      <c r="A72" s="2" t="n">
        <v>46071</v>
      </c>
      <c r="B72" s="3" t="inlineStr">
        <is>
          <t>NorthStar Sales</t>
        </is>
      </c>
      <c r="C72" s="3" t="inlineStr">
        <is>
          <t>claude-haiku-4-5-20251001</t>
        </is>
      </c>
      <c r="D72" s="3" t="n">
        <v>170180</v>
      </c>
      <c r="E72" s="3" t="n">
        <v>18891</v>
      </c>
      <c r="F72" s="3">
        <f>D72+E72</f>
        <v/>
      </c>
      <c r="G72" s="4" t="n">
        <v>0.06615875</v>
      </c>
      <c r="H72" s="3" t="inlineStr">
        <is>
          <t>Sales</t>
        </is>
      </c>
    </row>
    <row r="73">
      <c r="A73" s="5" t="n">
        <v>46071</v>
      </c>
      <c r="B73" s="6" t="inlineStr">
        <is>
          <t>WBR Agent</t>
        </is>
      </c>
      <c r="C73" s="6" t="inlineStr">
        <is>
          <t>claude-sonnet-4-6</t>
        </is>
      </c>
      <c r="D73" s="6" t="n">
        <v>68019</v>
      </c>
      <c r="E73" s="6" t="n">
        <v>17456</v>
      </c>
      <c r="F73" s="6">
        <f>D73+E73</f>
        <v/>
      </c>
      <c r="G73" s="7" t="n">
        <v>0.465897</v>
      </c>
      <c r="H73" s="6" t="inlineStr">
        <is>
          <t>Reporting</t>
        </is>
      </c>
    </row>
    <row r="74">
      <c r="A74" s="2" t="n">
        <v>46072</v>
      </c>
      <c r="B74" s="3" t="inlineStr">
        <is>
          <t>Cliff</t>
        </is>
      </c>
      <c r="C74" s="3" t="inlineStr">
        <is>
          <t>claude-sonnet-4-6</t>
        </is>
      </c>
      <c r="D74" s="3" t="n">
        <v>99035</v>
      </c>
      <c r="E74" s="3" t="n">
        <v>5741</v>
      </c>
      <c r="F74" s="3">
        <f>D74+E74</f>
        <v/>
      </c>
      <c r="G74" s="4" t="n">
        <v>0.38322</v>
      </c>
      <c r="H74" s="3" t="inlineStr">
        <is>
          <t>Analysis</t>
        </is>
      </c>
    </row>
    <row r="75">
      <c r="A75" s="5" t="n">
        <v>46072</v>
      </c>
      <c r="B75" s="6" t="inlineStr">
        <is>
          <t>Scalper V8</t>
        </is>
      </c>
      <c r="C75" s="6" t="inlineStr">
        <is>
          <t>claude-haiku-4-5-20251001</t>
        </is>
      </c>
      <c r="D75" s="6" t="n">
        <v>48294</v>
      </c>
      <c r="E75" s="6" t="n">
        <v>10336</v>
      </c>
      <c r="F75" s="6">
        <f>D75+E75</f>
        <v/>
      </c>
      <c r="G75" s="7" t="n">
        <v>0.0249935</v>
      </c>
      <c r="H75" s="6" t="inlineStr">
        <is>
          <t>Trading</t>
        </is>
      </c>
    </row>
    <row r="76">
      <c r="A76" s="2" t="n">
        <v>46072</v>
      </c>
      <c r="B76" s="3" t="inlineStr">
        <is>
          <t>NorthStar Sales</t>
        </is>
      </c>
      <c r="C76" s="3" t="inlineStr">
        <is>
          <t>claude-haiku-4-5-20251001</t>
        </is>
      </c>
      <c r="D76" s="3" t="n">
        <v>62201</v>
      </c>
      <c r="E76" s="3" t="n">
        <v>5056</v>
      </c>
      <c r="F76" s="3">
        <f>D76+E76</f>
        <v/>
      </c>
      <c r="G76" s="4" t="n">
        <v>0.02187025</v>
      </c>
      <c r="H76" s="3" t="inlineStr">
        <is>
          <t>Sales</t>
        </is>
      </c>
    </row>
    <row r="77">
      <c r="A77" s="5" t="n">
        <v>46072</v>
      </c>
      <c r="B77" s="6" t="inlineStr">
        <is>
          <t>WBR Agent</t>
        </is>
      </c>
      <c r="C77" s="6" t="inlineStr">
        <is>
          <t>claude-sonnet-4-6</t>
        </is>
      </c>
      <c r="D77" s="6" t="n">
        <v>187572</v>
      </c>
      <c r="E77" s="6" t="n">
        <v>19904</v>
      </c>
      <c r="F77" s="6">
        <f>D77+E77</f>
        <v/>
      </c>
      <c r="G77" s="7" t="n">
        <v>0.861276</v>
      </c>
      <c r="H77" s="6" t="inlineStr">
        <is>
          <t>Reporting</t>
        </is>
      </c>
    </row>
    <row r="78">
      <c r="A78" s="2" t="n">
        <v>46073</v>
      </c>
      <c r="B78" s="3" t="inlineStr">
        <is>
          <t>Cliff</t>
        </is>
      </c>
      <c r="C78" s="3" t="inlineStr">
        <is>
          <t>claude-sonnet-4-6</t>
        </is>
      </c>
      <c r="D78" s="3" t="n">
        <v>57958</v>
      </c>
      <c r="E78" s="3" t="n">
        <v>17349</v>
      </c>
      <c r="F78" s="3">
        <f>D78+E78</f>
        <v/>
      </c>
      <c r="G78" s="4" t="n">
        <v>0.434109</v>
      </c>
      <c r="H78" s="3" t="inlineStr">
        <is>
          <t>Analysis</t>
        </is>
      </c>
    </row>
    <row r="79">
      <c r="A79" s="5" t="n">
        <v>46073</v>
      </c>
      <c r="B79" s="6" t="inlineStr">
        <is>
          <t>Scalper V8</t>
        </is>
      </c>
      <c r="C79" s="6" t="inlineStr">
        <is>
          <t>claude-haiku-4-5-20251001</t>
        </is>
      </c>
      <c r="D79" s="6" t="n">
        <v>49156</v>
      </c>
      <c r="E79" s="6" t="n">
        <v>7069</v>
      </c>
      <c r="F79" s="6">
        <f>D79+E79</f>
        <v/>
      </c>
      <c r="G79" s="7" t="n">
        <v>0.02112525</v>
      </c>
      <c r="H79" s="6" t="inlineStr">
        <is>
          <t>Trading</t>
        </is>
      </c>
    </row>
    <row r="80">
      <c r="A80" s="2" t="n">
        <v>46073</v>
      </c>
      <c r="B80" s="3" t="inlineStr">
        <is>
          <t>NorthStar Sales</t>
        </is>
      </c>
      <c r="C80" s="3" t="inlineStr">
        <is>
          <t>claude-haiku-4-5-20251001</t>
        </is>
      </c>
      <c r="D80" s="3" t="n">
        <v>198093</v>
      </c>
      <c r="E80" s="3" t="n">
        <v>19126</v>
      </c>
      <c r="F80" s="3">
        <f>D80+E80</f>
        <v/>
      </c>
      <c r="G80" s="4" t="n">
        <v>0.07343075</v>
      </c>
      <c r="H80" s="3" t="inlineStr">
        <is>
          <t>Sales</t>
        </is>
      </c>
    </row>
    <row r="81">
      <c r="A81" s="5" t="n">
        <v>46073</v>
      </c>
      <c r="B81" s="6" t="inlineStr">
        <is>
          <t>WBR Agent</t>
        </is>
      </c>
      <c r="C81" s="6" t="inlineStr">
        <is>
          <t>claude-sonnet-4-6</t>
        </is>
      </c>
      <c r="D81" s="6" t="n">
        <v>157116</v>
      </c>
      <c r="E81" s="6" t="n">
        <v>26185</v>
      </c>
      <c r="F81" s="6">
        <f>D81+E81</f>
        <v/>
      </c>
      <c r="G81" s="7" t="n">
        <v>0.864123</v>
      </c>
      <c r="H81" s="6" t="inlineStr">
        <is>
          <t>Reporting</t>
        </is>
      </c>
    </row>
    <row r="82">
      <c r="A82" s="2" t="n">
        <v>46074</v>
      </c>
      <c r="B82" s="3" t="inlineStr">
        <is>
          <t>Cliff</t>
        </is>
      </c>
      <c r="C82" s="3" t="inlineStr">
        <is>
          <t>claude-sonnet-4-6</t>
        </is>
      </c>
      <c r="D82" s="3" t="n">
        <v>155594</v>
      </c>
      <c r="E82" s="3" t="n">
        <v>14075</v>
      </c>
      <c r="F82" s="3">
        <f>D82+E82</f>
        <v/>
      </c>
      <c r="G82" s="4" t="n">
        <v>0.677907</v>
      </c>
      <c r="H82" s="3" t="inlineStr">
        <is>
          <t>Analysis</t>
        </is>
      </c>
    </row>
    <row r="83">
      <c r="A83" s="5" t="n">
        <v>46074</v>
      </c>
      <c r="B83" s="6" t="inlineStr">
        <is>
          <t>Scalper V8</t>
        </is>
      </c>
      <c r="C83" s="6" t="inlineStr">
        <is>
          <t>claude-haiku-4-5-20251001</t>
        </is>
      </c>
      <c r="D83" s="6" t="n">
        <v>154460</v>
      </c>
      <c r="E83" s="6" t="n">
        <v>5736</v>
      </c>
      <c r="F83" s="6">
        <f>D83+E83</f>
        <v/>
      </c>
      <c r="G83" s="7" t="n">
        <v>0.04578499999999999</v>
      </c>
      <c r="H83" s="6" t="inlineStr">
        <is>
          <t>Trading</t>
        </is>
      </c>
    </row>
    <row r="84">
      <c r="A84" s="2" t="n">
        <v>46074</v>
      </c>
      <c r="B84" s="3" t="inlineStr">
        <is>
          <t>NorthStar Sales</t>
        </is>
      </c>
      <c r="C84" s="3" t="inlineStr">
        <is>
          <t>claude-haiku-4-5-20251001</t>
        </is>
      </c>
      <c r="D84" s="3" t="n">
        <v>113755</v>
      </c>
      <c r="E84" s="3" t="n">
        <v>35713</v>
      </c>
      <c r="F84" s="3">
        <f>D84+E84</f>
        <v/>
      </c>
      <c r="G84" s="4" t="n">
        <v>0.07308000000000001</v>
      </c>
      <c r="H84" s="3" t="inlineStr">
        <is>
          <t>Sales</t>
        </is>
      </c>
    </row>
    <row r="85">
      <c r="A85" s="5" t="n">
        <v>46074</v>
      </c>
      <c r="B85" s="6" t="inlineStr">
        <is>
          <t>WBR Agent</t>
        </is>
      </c>
      <c r="C85" s="6" t="inlineStr">
        <is>
          <t>claude-sonnet-4-6</t>
        </is>
      </c>
      <c r="D85" s="6" t="n">
        <v>127568</v>
      </c>
      <c r="E85" s="6" t="n">
        <v>27743</v>
      </c>
      <c r="F85" s="6">
        <f>D85+E85</f>
        <v/>
      </c>
      <c r="G85" s="7" t="n">
        <v>0.7988489999999999</v>
      </c>
      <c r="H85" s="6" t="inlineStr">
        <is>
          <t>Reporting</t>
        </is>
      </c>
    </row>
    <row r="86">
      <c r="A86" s="2" t="n">
        <v>46075</v>
      </c>
      <c r="B86" s="3" t="inlineStr">
        <is>
          <t>Cliff</t>
        </is>
      </c>
      <c r="C86" s="3" t="inlineStr">
        <is>
          <t>claude-sonnet-4-6</t>
        </is>
      </c>
      <c r="D86" s="3" t="n">
        <v>132401</v>
      </c>
      <c r="E86" s="3" t="n">
        <v>33622</v>
      </c>
      <c r="F86" s="3">
        <f>D86+E86</f>
        <v/>
      </c>
      <c r="G86" s="4" t="n">
        <v>0.9015329999999999</v>
      </c>
      <c r="H86" s="3" t="inlineStr">
        <is>
          <t>Analysis</t>
        </is>
      </c>
    </row>
    <row r="87">
      <c r="A87" s="5" t="n">
        <v>46075</v>
      </c>
      <c r="B87" s="6" t="inlineStr">
        <is>
          <t>Scalper V8</t>
        </is>
      </c>
      <c r="C87" s="6" t="inlineStr">
        <is>
          <t>claude-haiku-4-5-20251001</t>
        </is>
      </c>
      <c r="D87" s="6" t="n">
        <v>83910</v>
      </c>
      <c r="E87" s="6" t="n">
        <v>36669</v>
      </c>
      <c r="F87" s="6">
        <f>D87+E87</f>
        <v/>
      </c>
      <c r="G87" s="7" t="n">
        <v>0.06681375000000001</v>
      </c>
      <c r="H87" s="6" t="inlineStr">
        <is>
          <t>Trading</t>
        </is>
      </c>
    </row>
    <row r="88">
      <c r="A88" s="2" t="n">
        <v>46075</v>
      </c>
      <c r="B88" s="3" t="inlineStr">
        <is>
          <t>NorthStar Sales</t>
        </is>
      </c>
      <c r="C88" s="3" t="inlineStr">
        <is>
          <t>claude-haiku-4-5-20251001</t>
        </is>
      </c>
      <c r="D88" s="3" t="n">
        <v>54966</v>
      </c>
      <c r="E88" s="3" t="n">
        <v>26680</v>
      </c>
      <c r="F88" s="3">
        <f>D88+E88</f>
        <v/>
      </c>
      <c r="G88" s="4" t="n">
        <v>0.04709149999999999</v>
      </c>
      <c r="H88" s="3" t="inlineStr">
        <is>
          <t>Sales</t>
        </is>
      </c>
    </row>
    <row r="89">
      <c r="A89" s="5" t="n">
        <v>46075</v>
      </c>
      <c r="B89" s="6" t="inlineStr">
        <is>
          <t>WBR Agent</t>
        </is>
      </c>
      <c r="C89" s="6" t="inlineStr">
        <is>
          <t>claude-sonnet-4-6</t>
        </is>
      </c>
      <c r="D89" s="6" t="n">
        <v>35712</v>
      </c>
      <c r="E89" s="6" t="n">
        <v>19099</v>
      </c>
      <c r="F89" s="6">
        <f>D89+E89</f>
        <v/>
      </c>
      <c r="G89" s="7" t="n">
        <v>0.3936210000000001</v>
      </c>
      <c r="H89" s="6" t="inlineStr">
        <is>
          <t>Reporting</t>
        </is>
      </c>
    </row>
    <row r="90">
      <c r="A90" s="2" t="n">
        <v>46076</v>
      </c>
      <c r="B90" s="3" t="inlineStr">
        <is>
          <t>Cliff</t>
        </is>
      </c>
      <c r="C90" s="3" t="inlineStr">
        <is>
          <t>claude-sonnet-4-6</t>
        </is>
      </c>
      <c r="D90" s="3" t="n">
        <v>182422</v>
      </c>
      <c r="E90" s="3" t="n">
        <v>36724</v>
      </c>
      <c r="F90" s="3">
        <f>D90+E90</f>
        <v/>
      </c>
      <c r="G90" s="4" t="n">
        <v>1.098126</v>
      </c>
      <c r="H90" s="3" t="inlineStr">
        <is>
          <t>Analysis</t>
        </is>
      </c>
    </row>
    <row r="91">
      <c r="A91" s="5" t="n">
        <v>46076</v>
      </c>
      <c r="B91" s="6" t="inlineStr">
        <is>
          <t>Scalper V8</t>
        </is>
      </c>
      <c r="C91" s="6" t="inlineStr">
        <is>
          <t>claude-haiku-4-5-20251001</t>
        </is>
      </c>
      <c r="D91" s="6" t="n">
        <v>59970</v>
      </c>
      <c r="E91" s="6" t="n">
        <v>37033</v>
      </c>
      <c r="F91" s="6">
        <f>D91+E91</f>
        <v/>
      </c>
      <c r="G91" s="7" t="n">
        <v>0.06128375</v>
      </c>
      <c r="H91" s="6" t="inlineStr">
        <is>
          <t>Trading</t>
        </is>
      </c>
    </row>
    <row r="92">
      <c r="A92" s="2" t="n">
        <v>46076</v>
      </c>
      <c r="B92" s="3" t="inlineStr">
        <is>
          <t>NorthStar Sales</t>
        </is>
      </c>
      <c r="C92" s="3" t="inlineStr">
        <is>
          <t>claude-haiku-4-5-20251001</t>
        </is>
      </c>
      <c r="D92" s="3" t="n">
        <v>187434</v>
      </c>
      <c r="E92" s="3" t="n">
        <v>19001</v>
      </c>
      <c r="F92" s="3">
        <f>D92+E92</f>
        <v/>
      </c>
      <c r="G92" s="4" t="n">
        <v>0.07060975</v>
      </c>
      <c r="H92" s="3" t="inlineStr">
        <is>
          <t>Sales</t>
        </is>
      </c>
    </row>
    <row r="93">
      <c r="A93" s="5" t="n">
        <v>46076</v>
      </c>
      <c r="B93" s="6" t="inlineStr">
        <is>
          <t>WBR Agent</t>
        </is>
      </c>
      <c r="C93" s="6" t="inlineStr">
        <is>
          <t>claude-sonnet-4-6</t>
        </is>
      </c>
      <c r="D93" s="6" t="n">
        <v>44493</v>
      </c>
      <c r="E93" s="6" t="n">
        <v>37119</v>
      </c>
      <c r="F93" s="6">
        <f>D93+E93</f>
        <v/>
      </c>
      <c r="G93" s="7" t="n">
        <v>0.690264</v>
      </c>
      <c r="H93" s="6" t="inlineStr">
        <is>
          <t>Reporting</t>
        </is>
      </c>
    </row>
    <row r="94">
      <c r="A94" s="2" t="n">
        <v>46077</v>
      </c>
      <c r="B94" s="3" t="inlineStr">
        <is>
          <t>Cliff</t>
        </is>
      </c>
      <c r="C94" s="3" t="inlineStr">
        <is>
          <t>claude-sonnet-4-6</t>
        </is>
      </c>
      <c r="D94" s="3" t="n">
        <v>100692</v>
      </c>
      <c r="E94" s="3" t="n">
        <v>29978</v>
      </c>
      <c r="F94" s="3">
        <f>D94+E94</f>
        <v/>
      </c>
      <c r="G94" s="4" t="n">
        <v>0.751746</v>
      </c>
      <c r="H94" s="3" t="inlineStr">
        <is>
          <t>Analysis</t>
        </is>
      </c>
    </row>
    <row r="95">
      <c r="A95" s="5" t="n">
        <v>46077</v>
      </c>
      <c r="B95" s="6" t="inlineStr">
        <is>
          <t>Scalper V8</t>
        </is>
      </c>
      <c r="C95" s="6" t="inlineStr">
        <is>
          <t>claude-haiku-4-5-20251001</t>
        </is>
      </c>
      <c r="D95" s="6" t="n">
        <v>182001</v>
      </c>
      <c r="E95" s="6" t="n">
        <v>16729</v>
      </c>
      <c r="F95" s="6">
        <f>D95+E95</f>
        <v/>
      </c>
      <c r="G95" s="7" t="n">
        <v>0.0664115</v>
      </c>
      <c r="H95" s="6" t="inlineStr">
        <is>
          <t>Trading</t>
        </is>
      </c>
    </row>
    <row r="96">
      <c r="A96" s="2" t="n">
        <v>46077</v>
      </c>
      <c r="B96" s="3" t="inlineStr">
        <is>
          <t>NorthStar Sales</t>
        </is>
      </c>
      <c r="C96" s="3" t="inlineStr">
        <is>
          <t>claude-haiku-4-5-20251001</t>
        </is>
      </c>
      <c r="D96" s="3" t="n">
        <v>161712</v>
      </c>
      <c r="E96" s="3" t="n">
        <v>20168</v>
      </c>
      <c r="F96" s="3">
        <f>D96+E96</f>
        <v/>
      </c>
      <c r="G96" s="4" t="n">
        <v>0.065638</v>
      </c>
      <c r="H96" s="3" t="inlineStr">
        <is>
          <t>Sales</t>
        </is>
      </c>
    </row>
    <row r="97">
      <c r="A97" s="5" t="n">
        <v>46077</v>
      </c>
      <c r="B97" s="6" t="inlineStr">
        <is>
          <t>WBR Agent</t>
        </is>
      </c>
      <c r="C97" s="6" t="inlineStr">
        <is>
          <t>claude-sonnet-4-6</t>
        </is>
      </c>
      <c r="D97" s="6" t="n">
        <v>171907</v>
      </c>
      <c r="E97" s="6" t="n">
        <v>33455</v>
      </c>
      <c r="F97" s="6">
        <f>D97+E97</f>
        <v/>
      </c>
      <c r="G97" s="7" t="n">
        <v>1.017546</v>
      </c>
      <c r="H97" s="6" t="inlineStr">
        <is>
          <t>Reporting</t>
        </is>
      </c>
    </row>
    <row r="98">
      <c r="A98" s="2" t="n">
        <v>46078</v>
      </c>
      <c r="B98" s="3" t="inlineStr">
        <is>
          <t>Cliff</t>
        </is>
      </c>
      <c r="C98" s="3" t="inlineStr">
        <is>
          <t>claude-sonnet-4-6</t>
        </is>
      </c>
      <c r="D98" s="3" t="n">
        <v>120423</v>
      </c>
      <c r="E98" s="3" t="n">
        <v>34502</v>
      </c>
      <c r="F98" s="3">
        <f>D98+E98</f>
        <v/>
      </c>
      <c r="G98" s="4" t="n">
        <v>0.8787989999999999</v>
      </c>
      <c r="H98" s="3" t="inlineStr">
        <is>
          <t>Analysis</t>
        </is>
      </c>
    </row>
    <row r="99">
      <c r="A99" s="5" t="n">
        <v>46078</v>
      </c>
      <c r="B99" s="6" t="inlineStr">
        <is>
          <t>Scalper V8</t>
        </is>
      </c>
      <c r="C99" s="6" t="inlineStr">
        <is>
          <t>claude-haiku-4-5-20251001</t>
        </is>
      </c>
      <c r="D99" s="6" t="n">
        <v>174585</v>
      </c>
      <c r="E99" s="6" t="n">
        <v>33721</v>
      </c>
      <c r="F99" s="6">
        <f>D99+E99</f>
        <v/>
      </c>
      <c r="G99" s="7" t="n">
        <v>0.0857975</v>
      </c>
      <c r="H99" s="6" t="inlineStr">
        <is>
          <t>Trading</t>
        </is>
      </c>
    </row>
    <row r="100">
      <c r="A100" s="2" t="n">
        <v>46078</v>
      </c>
      <c r="B100" s="3" t="inlineStr">
        <is>
          <t>NorthStar Sales</t>
        </is>
      </c>
      <c r="C100" s="3" t="inlineStr">
        <is>
          <t>claude-haiku-4-5-20251001</t>
        </is>
      </c>
      <c r="D100" s="3" t="n">
        <v>102939</v>
      </c>
      <c r="E100" s="3" t="n">
        <v>29916</v>
      </c>
      <c r="F100" s="3">
        <f>D100+E100</f>
        <v/>
      </c>
      <c r="G100" s="4" t="n">
        <v>0.06312975000000001</v>
      </c>
      <c r="H100" s="3" t="inlineStr">
        <is>
          <t>Sales</t>
        </is>
      </c>
    </row>
    <row r="101">
      <c r="A101" s="5" t="n">
        <v>46078</v>
      </c>
      <c r="B101" s="6" t="inlineStr">
        <is>
          <t>WBR Agent</t>
        </is>
      </c>
      <c r="C101" s="6" t="inlineStr">
        <is>
          <t>claude-sonnet-4-6</t>
        </is>
      </c>
      <c r="D101" s="6" t="n">
        <v>103374</v>
      </c>
      <c r="E101" s="6" t="n">
        <v>27128</v>
      </c>
      <c r="F101" s="6">
        <f>D101+E101</f>
        <v/>
      </c>
      <c r="G101" s="7" t="n">
        <v>0.717042</v>
      </c>
      <c r="H101" s="6" t="inlineStr">
        <is>
          <t>Reporting</t>
        </is>
      </c>
    </row>
    <row r="102">
      <c r="A102" s="2" t="n">
        <v>46079</v>
      </c>
      <c r="B102" s="3" t="inlineStr">
        <is>
          <t>Cliff</t>
        </is>
      </c>
      <c r="C102" s="3" t="inlineStr">
        <is>
          <t>claude-sonnet-4-6</t>
        </is>
      </c>
      <c r="D102" s="3" t="n">
        <v>65768</v>
      </c>
      <c r="E102" s="3" t="n">
        <v>34527</v>
      </c>
      <c r="F102" s="3">
        <f>D102+E102</f>
        <v/>
      </c>
      <c r="G102" s="4" t="n">
        <v>0.715209</v>
      </c>
      <c r="H102" s="3" t="inlineStr">
        <is>
          <t>Analysis</t>
        </is>
      </c>
    </row>
    <row r="103">
      <c r="A103" s="5" t="n">
        <v>46079</v>
      </c>
      <c r="B103" s="6" t="inlineStr">
        <is>
          <t>Scalper V8</t>
        </is>
      </c>
      <c r="C103" s="6" t="inlineStr">
        <is>
          <t>claude-haiku-4-5-20251001</t>
        </is>
      </c>
      <c r="D103" s="6" t="n">
        <v>133454</v>
      </c>
      <c r="E103" s="6" t="n">
        <v>27539</v>
      </c>
      <c r="F103" s="6">
        <f>D103+E103</f>
        <v/>
      </c>
      <c r="G103" s="7" t="n">
        <v>0.06778724999999999</v>
      </c>
      <c r="H103" s="6" t="inlineStr">
        <is>
          <t>Trading</t>
        </is>
      </c>
    </row>
    <row r="104">
      <c r="A104" s="2" t="n">
        <v>46079</v>
      </c>
      <c r="B104" s="3" t="inlineStr">
        <is>
          <t>NorthStar Sales</t>
        </is>
      </c>
      <c r="C104" s="3" t="inlineStr">
        <is>
          <t>claude-haiku-4-5-20251001</t>
        </is>
      </c>
      <c r="D104" s="3" t="n">
        <v>95595</v>
      </c>
      <c r="E104" s="3" t="n">
        <v>11539</v>
      </c>
      <c r="F104" s="3">
        <f>D104+E104</f>
        <v/>
      </c>
      <c r="G104" s="4" t="n">
        <v>0.0383225</v>
      </c>
      <c r="H104" s="3" t="inlineStr">
        <is>
          <t>Sales</t>
        </is>
      </c>
    </row>
    <row r="105">
      <c r="A105" s="5" t="n">
        <v>46079</v>
      </c>
      <c r="B105" s="6" t="inlineStr">
        <is>
          <t>WBR Agent</t>
        </is>
      </c>
      <c r="C105" s="6" t="inlineStr">
        <is>
          <t>claude-sonnet-4-6</t>
        </is>
      </c>
      <c r="D105" s="6" t="n">
        <v>191918</v>
      </c>
      <c r="E105" s="6" t="n">
        <v>31654</v>
      </c>
      <c r="F105" s="6">
        <f>D105+E105</f>
        <v/>
      </c>
      <c r="G105" s="7" t="n">
        <v>1.050564</v>
      </c>
      <c r="H105" s="6" t="inlineStr">
        <is>
          <t>Reporting</t>
        </is>
      </c>
    </row>
    <row r="106">
      <c r="A106" s="2" t="n">
        <v>46080</v>
      </c>
      <c r="B106" s="3" t="inlineStr">
        <is>
          <t>Cliff</t>
        </is>
      </c>
      <c r="C106" s="3" t="inlineStr">
        <is>
          <t>claude-sonnet-4-6</t>
        </is>
      </c>
      <c r="D106" s="3" t="n">
        <v>133448</v>
      </c>
      <c r="E106" s="3" t="n">
        <v>34489</v>
      </c>
      <c r="F106" s="3">
        <f>D106+E106</f>
        <v/>
      </c>
      <c r="G106" s="4" t="n">
        <v>0.917679</v>
      </c>
      <c r="H106" s="3" t="inlineStr">
        <is>
          <t>Analysis</t>
        </is>
      </c>
    </row>
    <row r="107">
      <c r="A107" s="5" t="n">
        <v>46080</v>
      </c>
      <c r="B107" s="6" t="inlineStr">
        <is>
          <t>Scalper V8</t>
        </is>
      </c>
      <c r="C107" s="6" t="inlineStr">
        <is>
          <t>claude-haiku-4-5-20251001</t>
        </is>
      </c>
      <c r="D107" s="6" t="n">
        <v>123840</v>
      </c>
      <c r="E107" s="6" t="n">
        <v>14125</v>
      </c>
      <c r="F107" s="6">
        <f>D107+E107</f>
        <v/>
      </c>
      <c r="G107" s="7" t="n">
        <v>0.04861625</v>
      </c>
      <c r="H107" s="6" t="inlineStr">
        <is>
          <t>Trading</t>
        </is>
      </c>
    </row>
    <row r="108">
      <c r="A108" s="2" t="n">
        <v>46080</v>
      </c>
      <c r="B108" s="3" t="inlineStr">
        <is>
          <t>NorthStar Sales</t>
        </is>
      </c>
      <c r="C108" s="3" t="inlineStr">
        <is>
          <t>claude-haiku-4-5-20251001</t>
        </is>
      </c>
      <c r="D108" s="3" t="n">
        <v>175200</v>
      </c>
      <c r="E108" s="3" t="n">
        <v>14612</v>
      </c>
      <c r="F108" s="3">
        <f>D108+E108</f>
        <v/>
      </c>
      <c r="G108" s="4" t="n">
        <v>0.062065</v>
      </c>
      <c r="H108" s="3" t="inlineStr">
        <is>
          <t>Sales</t>
        </is>
      </c>
    </row>
    <row r="109">
      <c r="A109" s="5" t="n">
        <v>46080</v>
      </c>
      <c r="B109" s="6" t="inlineStr">
        <is>
          <t>WBR Agent</t>
        </is>
      </c>
      <c r="C109" s="6" t="inlineStr">
        <is>
          <t>claude-sonnet-4-6</t>
        </is>
      </c>
      <c r="D109" s="6" t="n">
        <v>60077</v>
      </c>
      <c r="E109" s="6" t="n">
        <v>16129</v>
      </c>
      <c r="F109" s="6">
        <f>D109+E109</f>
        <v/>
      </c>
      <c r="G109" s="7" t="n">
        <v>0.422166</v>
      </c>
      <c r="H109" s="6" t="inlineStr">
        <is>
          <t>Reporting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FF3C5C"/>
    <outlinePr summaryBelow="1" summaryRight="1"/>
    <pageSetUpPr/>
  </sheetPr>
  <dimension ref="A1:G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20" customWidth="1" min="3" max="3"/>
    <col width="24" customWidth="1" min="4" max="4"/>
    <col width="14" customWidth="1" min="5" max="5"/>
    <col width="12" customWidth="1" min="6" max="6"/>
    <col width="30" customWidth="1" min="7" max="7"/>
  </cols>
  <sheetData>
    <row r="1" ht="30" customHeight="1">
      <c r="A1" s="15" t="inlineStr">
        <is>
          <t>date</t>
        </is>
      </c>
      <c r="B1" s="15" t="inlineStr">
        <is>
          <t>business_line</t>
        </is>
      </c>
      <c r="C1" s="15" t="inlineStr">
        <is>
          <t>category</t>
        </is>
      </c>
      <c r="D1" s="15" t="inlineStr">
        <is>
          <t>vendor</t>
        </is>
      </c>
      <c r="E1" s="15" t="inlineStr">
        <is>
          <t>amount</t>
        </is>
      </c>
      <c r="F1" s="15" t="inlineStr">
        <is>
          <t>recurring</t>
        </is>
      </c>
      <c r="G1" s="15" t="inlineStr">
        <is>
          <t>notes</t>
        </is>
      </c>
    </row>
    <row r="2">
      <c r="A2" s="2" t="n">
        <v>46054</v>
      </c>
      <c r="B2" s="3" t="inlineStr">
        <is>
          <t>Shared</t>
        </is>
      </c>
      <c r="C2" s="3" t="inlineStr">
        <is>
          <t>API</t>
        </is>
      </c>
      <c r="D2" s="3" t="inlineStr">
        <is>
          <t>Anthropic (Cliff)</t>
        </is>
      </c>
      <c r="E2" s="4" t="n">
        <v>224</v>
      </c>
      <c r="F2" s="3" t="inlineStr">
        <is>
          <t>Y</t>
        </is>
      </c>
      <c r="G2" s="3" t="inlineStr">
        <is>
          <t>claude-sonnet-4-6 MTD</t>
        </is>
      </c>
    </row>
    <row r="3">
      <c r="A3" s="5" t="n">
        <v>46054</v>
      </c>
      <c r="B3" s="6" t="inlineStr">
        <is>
          <t>Betting</t>
        </is>
      </c>
      <c r="C3" s="6" t="inlineStr">
        <is>
          <t>API</t>
        </is>
      </c>
      <c r="D3" s="6" t="inlineStr">
        <is>
          <t>Anthropic (Scalper)</t>
        </is>
      </c>
      <c r="E3" s="7" t="n">
        <v>57</v>
      </c>
      <c r="F3" s="6" t="inlineStr">
        <is>
          <t>Y</t>
        </is>
      </c>
      <c r="G3" s="6" t="inlineStr">
        <is>
          <t>claude-haiku-4-5 MTD</t>
        </is>
      </c>
    </row>
    <row r="4">
      <c r="A4" s="2" t="n">
        <v>46054</v>
      </c>
      <c r="B4" s="3" t="inlineStr">
        <is>
          <t>Shared</t>
        </is>
      </c>
      <c r="C4" s="3" t="inlineStr">
        <is>
          <t>API</t>
        </is>
      </c>
      <c r="D4" s="3" t="inlineStr">
        <is>
          <t>Anthropic (Sales Agent)</t>
        </is>
      </c>
      <c r="E4" s="4" t="n">
        <v>18</v>
      </c>
      <c r="F4" s="3" t="inlineStr">
        <is>
          <t>Y</t>
        </is>
      </c>
      <c r="G4" s="3" t="inlineStr">
        <is>
          <t>MTD</t>
        </is>
      </c>
    </row>
    <row r="5">
      <c r="A5" s="5" t="n">
        <v>46054</v>
      </c>
      <c r="B5" s="6" t="inlineStr">
        <is>
          <t>Shared</t>
        </is>
      </c>
      <c r="C5" s="6" t="inlineStr">
        <is>
          <t>Hosting</t>
        </is>
      </c>
      <c r="D5" s="6" t="inlineStr">
        <is>
          <t>Railway</t>
        </is>
      </c>
      <c r="E5" s="7" t="n">
        <v>20</v>
      </c>
      <c r="F5" s="6" t="inlineStr">
        <is>
          <t>Y</t>
        </is>
      </c>
      <c r="G5" s="6" t="inlineStr">
        <is>
          <t>Production hosting</t>
        </is>
      </c>
    </row>
    <row r="6">
      <c r="A6" s="2" t="n">
        <v>46054</v>
      </c>
      <c r="B6" s="3" t="inlineStr">
        <is>
          <t>John</t>
        </is>
      </c>
      <c r="C6" s="3" t="inlineStr">
        <is>
          <t>Hosting</t>
        </is>
      </c>
      <c r="D6" s="3" t="inlineStr">
        <is>
          <t>Hostinger</t>
        </is>
      </c>
      <c r="E6" s="4" t="n">
        <v>15</v>
      </c>
      <c r="F6" s="3" t="inlineStr">
        <is>
          <t>Y</t>
        </is>
      </c>
      <c r="G6" s="3" t="inlineStr">
        <is>
          <t>Client hosting</t>
        </is>
      </c>
    </row>
    <row r="7">
      <c r="A7" s="5" t="n">
        <v>46054</v>
      </c>
      <c r="B7" s="6" t="inlineStr">
        <is>
          <t>Shared</t>
        </is>
      </c>
      <c r="C7" s="6" t="inlineStr">
        <is>
          <t>Software</t>
        </is>
      </c>
      <c r="D7" s="6" t="inlineStr">
        <is>
          <t>Cursor Pro</t>
        </is>
      </c>
      <c r="E7" s="7" t="n">
        <v>20</v>
      </c>
      <c r="F7" s="6" t="inlineStr">
        <is>
          <t>Y</t>
        </is>
      </c>
      <c r="G7" s="6" t="inlineStr">
        <is>
          <t>IDE subscription</t>
        </is>
      </c>
    </row>
    <row r="8">
      <c r="A8" s="2" t="n">
        <v>46054</v>
      </c>
      <c r="B8" s="3" t="inlineStr">
        <is>
          <t>Betting</t>
        </is>
      </c>
      <c r="C8" s="3" t="inlineStr">
        <is>
          <t>Software</t>
        </is>
      </c>
      <c r="D8" s="3" t="inlineStr">
        <is>
          <t>Kalshi fees</t>
        </is>
      </c>
      <c r="E8" s="4" t="n">
        <v>48</v>
      </c>
      <c r="F8" s="3" t="inlineStr">
        <is>
          <t>N</t>
        </is>
      </c>
      <c r="G8" s="3" t="inlineStr">
        <is>
          <t>Trading fees MTD</t>
        </is>
      </c>
    </row>
    <row r="9">
      <c r="A9" s="5" t="n">
        <v>46056</v>
      </c>
      <c r="B9" s="6" t="inlineStr">
        <is>
          <t>Kelsea</t>
        </is>
      </c>
      <c r="C9" s="6" t="inlineStr">
        <is>
          <t>COGS</t>
        </is>
      </c>
      <c r="D9" s="6" t="inlineStr">
        <is>
          <t>Supplier A</t>
        </is>
      </c>
      <c r="E9" s="7" t="n">
        <v>480</v>
      </c>
      <c r="F9" s="6" t="inlineStr">
        <is>
          <t>N</t>
        </is>
      </c>
      <c r="G9" s="6" t="inlineStr">
        <is>
          <t>Goods purchase</t>
        </is>
      </c>
    </row>
    <row r="10">
      <c r="A10" s="2" t="n">
        <v>46058</v>
      </c>
      <c r="B10" s="3" t="inlineStr">
        <is>
          <t>John</t>
        </is>
      </c>
      <c r="C10" s="3" t="inlineStr">
        <is>
          <t>Marketing</t>
        </is>
      </c>
      <c r="D10" s="3" t="inlineStr">
        <is>
          <t>Google Ads</t>
        </is>
      </c>
      <c r="E10" s="4" t="n">
        <v>200</v>
      </c>
      <c r="F10" s="3" t="inlineStr">
        <is>
          <t>Y</t>
        </is>
      </c>
      <c r="G10" s="3" t="inlineStr">
        <is>
          <t>Lead gen</t>
        </is>
      </c>
    </row>
    <row r="11">
      <c r="A11" s="5" t="n">
        <v>46061</v>
      </c>
      <c r="B11" s="6" t="inlineStr">
        <is>
          <t>Kelsea</t>
        </is>
      </c>
      <c r="C11" s="6" t="inlineStr">
        <is>
          <t>Software</t>
        </is>
      </c>
      <c r="D11" s="6" t="inlineStr">
        <is>
          <t>Tools bundle</t>
        </is>
      </c>
      <c r="E11" s="7" t="n">
        <v>120</v>
      </c>
      <c r="F11" s="6" t="inlineStr">
        <is>
          <t>Y</t>
        </is>
      </c>
      <c r="G11" s="6" t="inlineStr">
        <is>
          <t>Monthly subs</t>
        </is>
      </c>
    </row>
    <row r="12">
      <c r="A12" s="2" t="n">
        <v>46071</v>
      </c>
      <c r="B12" s="3" t="inlineStr">
        <is>
          <t>Kelsea</t>
        </is>
      </c>
      <c r="C12" s="3" t="inlineStr">
        <is>
          <t>Marketing</t>
        </is>
      </c>
      <c r="D12" s="3" t="inlineStr">
        <is>
          <t>Facebook Ads</t>
        </is>
      </c>
      <c r="E12" s="4" t="n">
        <v>180</v>
      </c>
      <c r="F12" s="3" t="inlineStr">
        <is>
          <t>N</t>
        </is>
      </c>
      <c r="G12" s="3" t="inlineStr">
        <is>
          <t>Ad spend</t>
        </is>
      </c>
    </row>
    <row r="13">
      <c r="A13" s="5" t="n">
        <v>46075</v>
      </c>
      <c r="B13" s="6" t="inlineStr">
        <is>
          <t>Kelsea</t>
        </is>
      </c>
      <c r="C13" s="6" t="inlineStr">
        <is>
          <t>COGS</t>
        </is>
      </c>
      <c r="D13" s="6" t="inlineStr">
        <is>
          <t>Supplier A</t>
        </is>
      </c>
      <c r="E13" s="7" t="n">
        <v>284</v>
      </c>
      <c r="F13" s="6" t="inlineStr">
        <is>
          <t>N</t>
        </is>
      </c>
      <c r="G13" s="6" t="inlineStr">
        <is>
          <t>Goods purchase</t>
        </is>
      </c>
    </row>
    <row r="14">
      <c r="A14" s="2" t="n">
        <v>46078</v>
      </c>
      <c r="B14" s="3" t="inlineStr">
        <is>
          <t>Kelsea</t>
        </is>
      </c>
      <c r="C14" s="3" t="inlineStr">
        <is>
          <t>COGS</t>
        </is>
      </c>
      <c r="D14" s="3" t="inlineStr">
        <is>
          <t>Supplier B</t>
        </is>
      </c>
      <c r="E14" s="4" t="n">
        <v>360</v>
      </c>
      <c r="F14" s="3" t="inlineStr">
        <is>
          <t>N</t>
        </is>
      </c>
      <c r="G14" s="3" t="inlineStr">
        <is>
          <t>Goods purchase</t>
        </is>
      </c>
    </row>
    <row r="15">
      <c r="A15" s="5" t="n">
        <v>46080</v>
      </c>
      <c r="B15" s="6" t="inlineStr">
        <is>
          <t>Kelsea</t>
        </is>
      </c>
      <c r="C15" s="6" t="inlineStr">
        <is>
          <t>Overhead</t>
        </is>
      </c>
      <c r="D15" s="6" t="inlineStr">
        <is>
          <t>Misc</t>
        </is>
      </c>
      <c r="E15" s="7" t="n">
        <v>180</v>
      </c>
      <c r="F15" s="6" t="inlineStr">
        <is>
          <t>N</t>
        </is>
      </c>
      <c r="G15" s="6" t="inlineStr">
        <is>
          <t>Miscellaneous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FFFFFF"/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cols>
    <col width="32" customWidth="1" min="1" max="1"/>
    <col width="20" customWidth="1" min="2" max="2"/>
    <col width="20" customWidth="1" min="3" max="3"/>
    <col width="20" customWidth="1" min="4" max="4"/>
  </cols>
  <sheetData>
    <row r="1" ht="36" customHeight="1">
      <c r="A1" s="16" t="inlineStr">
        <is>
          <t>NorthStar Synergy — P&amp;L Master Summary</t>
        </is>
      </c>
    </row>
    <row r="2">
      <c r="A2" s="11" t="inlineStr">
        <is>
          <t>Last refreshed:</t>
        </is>
      </c>
      <c r="B2" s="17">
        <f>NOW()</f>
        <v/>
      </c>
    </row>
    <row r="3" ht="8" customHeight="1"/>
    <row r="4" ht="22" customHeight="1">
      <c r="A4" s="18" t="inlineStr">
        <is>
          <t>━━ BETTING / KALSHI (MTD) ━━</t>
        </is>
      </c>
    </row>
    <row r="5" ht="18" customHeight="1">
      <c r="A5" s="19" t="inlineStr">
        <is>
          <t>Gross Wins</t>
        </is>
      </c>
      <c r="B5" s="20">
        <f>SUMPRODUCT((MONTH(KALSHI_TRADES!A2:A1000)=MONTH(TODAY()))*(KALSHI_TRADES!K2:K1000="Settled")*(KALSHI_TRADES!I2:I1000&gt;0)*(KALSHI_TRADES!I2:I1000))</f>
        <v/>
      </c>
    </row>
    <row r="6" ht="18" customHeight="1">
      <c r="A6" s="19" t="inlineStr">
        <is>
          <t>Gross Losses</t>
        </is>
      </c>
      <c r="B6" s="20">
        <f>SUMPRODUCT((MONTH(KALSHI_TRADES!A2:A1000)=MONTH(TODAY()))*(KALSHI_TRADES!K2:K1000="Settled")*(KALSHI_TRADES!I2:I1000&lt;0)*(KALSHI_TRADES!I2:I1000))</f>
        <v/>
      </c>
    </row>
    <row r="7" ht="18" customHeight="1">
      <c r="A7" s="19" t="inlineStr">
        <is>
          <t>Net P&amp;L (Betting)</t>
        </is>
      </c>
      <c r="B7" s="20">
        <f>SUMPRODUCT((MONTH(KALSHI_TRADES!A2:A1000)=MONTH(TODAY()))*(KALSHI_TRADES!K2:K1000="Settled")*(KALSHI_TRADES!I2:I1000))</f>
        <v/>
      </c>
    </row>
    <row r="8" ht="18" customHeight="1">
      <c r="A8" s="19" t="inlineStr">
        <is>
          <t>Open Positions Count</t>
        </is>
      </c>
      <c r="B8" s="21">
        <f>COUNTIF(KALSHI_TRADES!K2:K1000,"Open")</f>
        <v/>
      </c>
    </row>
    <row r="9" ht="18" customHeight="1">
      <c r="A9" s="19" t="inlineStr">
        <is>
          <t>Current Exposure (Open)</t>
        </is>
      </c>
      <c r="B9" s="20">
        <f>SUMPRODUCT((KALSHI_TRADES!K2:K1000="Open")*(KALSHI_TRADES!H2:H1000))</f>
        <v/>
      </c>
    </row>
    <row r="10" ht="18" customHeight="1">
      <c r="A10" s="19" t="inlineStr">
        <is>
          <t>Unrealized P&amp;L</t>
        </is>
      </c>
      <c r="B10" s="20">
        <f>SUMPRODUCT((KALSHI_TRADES!K2:K1000="Open")*(IFERROR(KALSHI_TRADES!J2:J1000,0)))</f>
        <v/>
      </c>
    </row>
    <row r="11" ht="18" customHeight="1">
      <c r="A11" s="19" t="inlineStr">
        <is>
          <t>Win Rate</t>
        </is>
      </c>
      <c r="B11" s="22">
        <f>IFERROR(SUMPRODUCT((MONTH(KALSHI_TRADES!A2:A1000)=MONTH(TODAY()))*(KALSHI_TRADES!K2:K1000="Settled")*(KALSHI_TRADES!I2:I1000&gt;0))/SUMPRODUCT((MONTH(KALSHI_TRADES!A2:A1000)=MONTH(TODAY()))*(KALSHI_TRADES!K2:K1000="Settled")*1),0)</f>
        <v/>
      </c>
    </row>
    <row r="12" ht="8" customHeight="1"/>
    <row r="13" ht="22" customHeight="1">
      <c r="A13" s="18" t="inlineStr">
        <is>
          <t>━━ JOHN'S WEB BIZ (MTD) ━━</t>
        </is>
      </c>
    </row>
    <row r="14" ht="18" customHeight="1">
      <c r="A14" s="19" t="inlineStr">
        <is>
          <t>Total Revenue</t>
        </is>
      </c>
      <c r="B14" s="20">
        <f>SUMPRODUCT((MONTH(JOHN_REVENUE!A2:A1000)=MONTH(TODAY()))*(JOHN_REVENUE!D2:D1000))</f>
        <v/>
      </c>
    </row>
    <row r="15" ht="18" customHeight="1">
      <c r="A15" s="19" t="inlineStr">
        <is>
          <t>MRR (Recurring Only)</t>
        </is>
      </c>
      <c r="B15" s="20">
        <f>SUMPRODUCT((JOHN_REVENUE!E2:E1000="Y")*(JOHN_REVENUE!D2:D1000))</f>
        <v/>
      </c>
    </row>
    <row r="16" ht="18" customHeight="1">
      <c r="A16" s="19" t="inlineStr">
        <is>
          <t>Pending Invoices</t>
        </is>
      </c>
      <c r="B16" s="20">
        <f>SUMPRODUCT((JOHN_REVENUE!F2:F1000="Pending")*(JOHN_REVENUE!D2:D1000))</f>
        <v/>
      </c>
    </row>
    <row r="17" ht="8" customHeight="1"/>
    <row r="18" ht="22" customHeight="1">
      <c r="A18" s="18" t="inlineStr">
        <is>
          <t>━━ KELSEA BUSINESSES (MTD) ━━</t>
        </is>
      </c>
    </row>
    <row r="19" ht="18" customHeight="1">
      <c r="A19" s="19" t="inlineStr">
        <is>
          <t>Total Revenue</t>
        </is>
      </c>
      <c r="B19" s="20">
        <f>SUMPRODUCT((MONTH(KELSEA_TRANSACTIONS!A2:A1000)=MONTH(TODAY()))*(KELSEA_TRANSACTIONS!B2:B1000="Revenue")*(KELSEA_TRANSACTIONS!E2:E1000))</f>
        <v/>
      </c>
    </row>
    <row r="20" ht="18" customHeight="1">
      <c r="A20" s="19" t="inlineStr">
        <is>
          <t>Total Expenses</t>
        </is>
      </c>
      <c r="B20" s="20">
        <f>SUMPRODUCT((MONTH(KELSEA_TRANSACTIONS!A2:A1000)=MONTH(TODAY()))*(KELSEA_TRANSACTIONS!B2:B1000="Expense")*(KELSEA_TRANSACTIONS!E2:E1000))</f>
        <v/>
      </c>
    </row>
    <row r="21" ht="18" customHeight="1">
      <c r="A21" s="19" t="inlineStr">
        <is>
          <t>Net Profit</t>
        </is>
      </c>
      <c r="B21" s="20">
        <f>SUMPRODUCT((MONTH(KELSEA_TRANSACTIONS!A2:A1000)=MONTH(TODAY()))*(KELSEA_TRANSACTIONS!B2:B1000="Revenue")*(KELSEA_TRANSACTIONS!E2:E1000))-SUMPRODUCT((MONTH(KELSEA_TRANSACTIONS!A2:A1000)=MONTH(TODAY()))*(KELSEA_TRANSACTIONS!B2:B1000="Expense")*(KELSEA_TRANSACTIONS!E2:E1000))</f>
        <v/>
      </c>
    </row>
    <row r="22" ht="8" customHeight="1"/>
    <row r="23" ht="22" customHeight="1">
      <c r="A23" s="18" t="inlineStr">
        <is>
          <t>━━ AI / TOKEN COSTS (MTD) ━━</t>
        </is>
      </c>
    </row>
    <row r="24" ht="18" customHeight="1">
      <c r="A24" s="19" t="inlineStr">
        <is>
          <t>Total Token Cost</t>
        </is>
      </c>
      <c r="B24" s="20">
        <f>SUMPRODUCT((MONTH(AI_TOKEN_USAGE!A2:A5000)=MONTH(TODAY()))*(AI_TOKEN_USAGE!G2:G5000))</f>
        <v/>
      </c>
    </row>
    <row r="25" ht="18" customHeight="1">
      <c r="A25" s="19" t="inlineStr">
        <is>
          <t>Cliff Token Cost</t>
        </is>
      </c>
      <c r="B25" s="20">
        <f>SUMPRODUCT((MONTH(AI_TOKEN_USAGE!A2:A5000)=MONTH(TODAY()))*(AI_TOKEN_USAGE!B2:B5000="Cliff")*(AI_TOKEN_USAGE!G2:G5000))</f>
        <v/>
      </c>
    </row>
    <row r="26" ht="18" customHeight="1">
      <c r="A26" s="19" t="inlineStr">
        <is>
          <t>Scalper Token Cost</t>
        </is>
      </c>
      <c r="B26" s="20">
        <f>SUMPRODUCT((MONTH(AI_TOKEN_USAGE!A2:A5000)=MONTH(TODAY()))*(AI_TOKEN_USAGE!B2:B5000="Scalper V8")*(AI_TOKEN_USAGE!G2:G5000))</f>
        <v/>
      </c>
    </row>
    <row r="27" ht="8" customHeight="1"/>
    <row r="28" ht="22" customHeight="1">
      <c r="A28" s="18" t="inlineStr">
        <is>
          <t>━━ ENTERPRISE TOTALS (MTD) ━━</t>
        </is>
      </c>
    </row>
    <row r="29" ht="18" customHeight="1">
      <c r="A29" s="19" t="inlineStr">
        <is>
          <t>ALL REVENUE</t>
        </is>
      </c>
      <c r="B29" s="20">
        <f>SUMPRODUCT((MONTH(JOHN_REVENUE!A2:A1000)=MONTH(TODAY()))*(JOHN_REVENUE!D2:D1000))+SUMPRODUCT((MONTH(KELSEA_TRANSACTIONS!A2:A1000)=MONTH(TODAY()))*(KELSEA_TRANSACTIONS!B2:B1000="Revenue")*(KELSEA_TRANSACTIONS!E2:E1000))</f>
        <v/>
      </c>
    </row>
    <row r="30" ht="18" customHeight="1">
      <c r="A30" s="19" t="inlineStr">
        <is>
          <t>ALL EXPENSES</t>
        </is>
      </c>
      <c r="B30" s="20">
        <f>SUMPRODUCT((MONTH(EXPENSES_ALL!A2:A1000)=MONTH(TODAY()))*(EXPENSES_ALL!E2:E1000))</f>
        <v/>
      </c>
    </row>
    <row r="31" ht="18" customHeight="1">
      <c r="A31" s="19" t="inlineStr">
        <is>
          <t>ALL NET P&amp;L</t>
        </is>
      </c>
      <c r="B31" s="20">
        <f>B28+B17-B29</f>
        <v/>
      </c>
    </row>
  </sheetData>
  <mergeCells count="6">
    <mergeCell ref="A1:D1"/>
    <mergeCell ref="A23:D23"/>
    <mergeCell ref="A18:D18"/>
    <mergeCell ref="A4:D4"/>
    <mergeCell ref="A28:D28"/>
    <mergeCell ref="A13:D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2026-02-28T04:35:57Z</dcterms:created>
  <dcterms:modified xmlns:dcterms="http://purl.org/dc/terms/" xmlns:xsi="http://www.w3.org/2001/XMLSchema-instance" xsi:type="dcterms:W3CDTF">2026-02-28T04:35:57Z</dcterms:modified>
</cp:coreProperties>
</file>